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giris\OneDrive\Desktop\"/>
    </mc:Choice>
  </mc:AlternateContent>
  <xr:revisionPtr revIDLastSave="0" documentId="8_{E1DA5F68-7840-4142-897C-E81CA0B50411}" xr6:coauthVersionLast="47" xr6:coauthVersionMax="47" xr10:uidLastSave="{00000000-0000-0000-0000-000000000000}"/>
  <bookViews>
    <workbookView xWindow="-108" yWindow="-108" windowWidth="23256" windowHeight="12456" xr2:uid="{3FEB99DC-6C39-4945-8211-9B2FBD3184B5}"/>
  </bookViews>
  <sheets>
    <sheet name="Raw Dataset" sheetId="1" r:id="rId1"/>
    <sheet name=" Dashboard" sheetId="4" r:id="rId2"/>
    <sheet name="Pivot Table &amp; Charts" sheetId="3" r:id="rId3"/>
    <sheet name="Insights" sheetId="5" r:id="rId4"/>
  </sheets>
  <definedNames>
    <definedName name="Slicer_Age_Group">#N/A</definedName>
    <definedName name="Slicer_Customer_Seg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 i="1"/>
</calcChain>
</file>

<file path=xl/sharedStrings.xml><?xml version="1.0" encoding="utf-8"?>
<sst xmlns="http://schemas.openxmlformats.org/spreadsheetml/2006/main" count="260" uniqueCount="42">
  <si>
    <t>CustomerID</t>
  </si>
  <si>
    <t>Age</t>
  </si>
  <si>
    <t>Annual Income (k$)</t>
  </si>
  <si>
    <t>Spending Score (1-100)</t>
  </si>
  <si>
    <t>Male</t>
  </si>
  <si>
    <t>Female</t>
  </si>
  <si>
    <t>Customer Segment</t>
  </si>
  <si>
    <t>Row Labels</t>
  </si>
  <si>
    <t>High Value</t>
  </si>
  <si>
    <t>Impulsive</t>
  </si>
  <si>
    <t>Low Value</t>
  </si>
  <si>
    <t>Potential</t>
  </si>
  <si>
    <t>Grand Total</t>
  </si>
  <si>
    <t>Count of CustomerID</t>
  </si>
  <si>
    <t>Gender</t>
  </si>
  <si>
    <t>Average of Spending Score (1-100)</t>
  </si>
  <si>
    <t>18-25</t>
  </si>
  <si>
    <t>Sum of Annual Income (k$)</t>
  </si>
  <si>
    <t>Age Group</t>
  </si>
  <si>
    <t>26-35</t>
  </si>
  <si>
    <t>36-45</t>
  </si>
  <si>
    <t>46-55</t>
  </si>
  <si>
    <t>56+</t>
  </si>
  <si>
    <t>Mall Customer Insights Dashboard</t>
  </si>
  <si>
    <t>Customer Behavior &amp; Segmentation Overview</t>
  </si>
  <si>
    <t xml:space="preserve">Count </t>
  </si>
  <si>
    <t>%</t>
  </si>
  <si>
    <t>Insight Report Sheet</t>
  </si>
  <si>
    <t>Objective:</t>
  </si>
  <si>
    <r>
      <rPr>
        <sz val="12"/>
        <color theme="1"/>
        <rFont val="Calibri"/>
        <family val="2"/>
        <scheme val="minor"/>
      </rPr>
      <t>Analyze mall customer behavior using demographic and spending data to identify customer segments and marketing opportunities</t>
    </r>
    <r>
      <rPr>
        <sz val="11"/>
        <color theme="1"/>
        <rFont val="Calibri"/>
        <family val="2"/>
        <scheme val="minor"/>
      </rPr>
      <t>.</t>
    </r>
  </si>
  <si>
    <t>Findings:</t>
  </si>
  <si>
    <t>High Value customers represent the most profitable segment.</t>
  </si>
  <si>
    <t>Potential customers possess high purchasing power but lower engagement.</t>
  </si>
  <si>
    <t>Younger customers demonstrate higher average spending scores.</t>
  </si>
  <si>
    <t>Customer segmentation is more effective than income-based targeting alone.</t>
  </si>
  <si>
    <t>Female customers more on average.</t>
  </si>
  <si>
    <t>Recommendations:</t>
  </si>
  <si>
    <t>Introduce premium loyalty programs for High Value customers.</t>
  </si>
  <si>
    <t>Offer targeted promotions to Potential customers.</t>
  </si>
  <si>
    <t>Focus campaigns on younger shoppers.</t>
  </si>
  <si>
    <t>Invest in female led campaigns.</t>
  </si>
  <si>
    <t>Track segment performance regularly.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</si>
</sst>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i/>
      <sz val="12"/>
      <color theme="1"/>
      <name val="Calibri"/>
      <family val="2"/>
      <scheme val="minor"/>
    </font>
    <font>
      <sz val="12"/>
      <color theme="1"/>
      <name val="Calibri"/>
      <family val="2"/>
      <scheme val="minor"/>
    </font>
    <font>
      <sz val="20"/>
      <color theme="1"/>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3" borderId="0" xfId="0" applyFill="1" applyAlignment="1">
      <alignment horizontal="center"/>
    </xf>
    <xf numFmtId="0" fontId="0" fillId="0" borderId="0" xfId="0" applyAlignment="1">
      <alignment horizontal="center"/>
    </xf>
    <xf numFmtId="10" fontId="0" fillId="0" borderId="0" xfId="0" applyNumberFormat="1"/>
    <xf numFmtId="0" fontId="18" fillId="33" borderId="0" xfId="0" applyFont="1" applyFill="1" applyAlignment="1">
      <alignment horizontal="center"/>
    </xf>
    <xf numFmtId="0" fontId="19" fillId="33" borderId="0" xfId="0" applyFont="1" applyFill="1" applyAlignment="1">
      <alignment horizontal="center"/>
    </xf>
    <xf numFmtId="0" fontId="0" fillId="33" borderId="0" xfId="0" applyFill="1" applyAlignment="1">
      <alignment horizontal="center"/>
    </xf>
    <xf numFmtId="0" fontId="21" fillId="0" borderId="0" xfId="0" applyFont="1"/>
    <xf numFmtId="0" fontId="20" fillId="0" borderId="0" xfId="0" applyFont="1"/>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numFmt numFmtId="2" formatCode="0.00"/>
    </dxf>
    <dxf>
      <numFmt numFmtId="2" formatCode="0.00"/>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 &amp; Charts'!$B$3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6A9-443C-94A2-615183617461}"/>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6A9-443C-94A2-61518361746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A6A9-443C-94A2-615183617461}"/>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A6A9-443C-94A2-615183617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Charts'!$A$4:$A$8</c:f>
              <c:strCache>
                <c:ptCount val="4"/>
                <c:pt idx="0">
                  <c:v>High Value</c:v>
                </c:pt>
                <c:pt idx="1">
                  <c:v>Impulsive</c:v>
                </c:pt>
                <c:pt idx="2">
                  <c:v>Low Value</c:v>
                </c:pt>
                <c:pt idx="3">
                  <c:v>Potential</c:v>
                </c:pt>
              </c:strCache>
            </c:strRef>
          </c:cat>
          <c:val>
            <c:numRef>
              <c:f>'Pivot Table &amp; Charts'!$B$4:$B$8</c:f>
              <c:numCache>
                <c:formatCode>General</c:formatCode>
                <c:ptCount val="4"/>
                <c:pt idx="0">
                  <c:v>34</c:v>
                </c:pt>
                <c:pt idx="1">
                  <c:v>20</c:v>
                </c:pt>
                <c:pt idx="2">
                  <c:v>104</c:v>
                </c:pt>
                <c:pt idx="3">
                  <c:v>42</c:v>
                </c:pt>
              </c:numCache>
            </c:numRef>
          </c:val>
          <c:extLst>
            <c:ext xmlns:c16="http://schemas.microsoft.com/office/drawing/2014/chart" uri="{C3380CC4-5D6E-409C-BE32-E72D297353CC}">
              <c16:uniqueId val="{00000008-A6A9-443C-94A2-6151836174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Spending Score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rgbClr val="7030A0"/>
          </a:solidFill>
          <a:ln>
            <a:noFill/>
          </a:ln>
          <a:effectLst/>
        </c:spPr>
      </c:pivotFmt>
    </c:pivotFmts>
    <c:plotArea>
      <c:layout>
        <c:manualLayout>
          <c:layoutTarget val="inner"/>
          <c:xMode val="edge"/>
          <c:yMode val="edge"/>
          <c:x val="0.10099759405074367"/>
          <c:y val="0.26791447944006996"/>
          <c:w val="0.75481714785651799"/>
          <c:h val="0.53774387576552929"/>
        </c:manualLayout>
      </c:layout>
      <c:barChart>
        <c:barDir val="col"/>
        <c:grouping val="clustered"/>
        <c:varyColors val="0"/>
        <c:ser>
          <c:idx val="0"/>
          <c:order val="0"/>
          <c:tx>
            <c:strRef>
              <c:f>'Pivot Table &amp; Charts'!$B$18</c:f>
              <c:strCache>
                <c:ptCount val="1"/>
                <c:pt idx="0">
                  <c:v>Total</c:v>
                </c:pt>
              </c:strCache>
            </c:strRef>
          </c:tx>
          <c:spPr>
            <a:solidFill>
              <a:srgbClr val="7030A0"/>
            </a:solidFill>
            <a:ln>
              <a:noFill/>
            </a:ln>
            <a:effectLst/>
          </c:spPr>
          <c:invertIfNegative val="0"/>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1-207D-431C-80F5-ADD7F42306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Charts'!$A$19:$A$21</c:f>
              <c:strCache>
                <c:ptCount val="2"/>
                <c:pt idx="0">
                  <c:v>Female</c:v>
                </c:pt>
                <c:pt idx="1">
                  <c:v>Male</c:v>
                </c:pt>
              </c:strCache>
            </c:strRef>
          </c:cat>
          <c:val>
            <c:numRef>
              <c:f>'Pivot Table &amp; Charts'!$B$19:$B$21</c:f>
              <c:numCache>
                <c:formatCode>0.00</c:formatCode>
                <c:ptCount val="2"/>
                <c:pt idx="0">
                  <c:v>51.526785714285715</c:v>
                </c:pt>
                <c:pt idx="1">
                  <c:v>48.511363636363633</c:v>
                </c:pt>
              </c:numCache>
            </c:numRef>
          </c:val>
          <c:extLst>
            <c:ext xmlns:c16="http://schemas.microsoft.com/office/drawing/2014/chart" uri="{C3380CC4-5D6E-409C-BE32-E72D297353CC}">
              <c16:uniqueId val="{00000000-207D-431C-80F5-ADD7F42306D1}"/>
            </c:ext>
          </c:extLst>
        </c:ser>
        <c:dLbls>
          <c:dLblPos val="outEnd"/>
          <c:showLegendKey val="0"/>
          <c:showVal val="1"/>
          <c:showCatName val="0"/>
          <c:showSerName val="0"/>
          <c:showPercent val="0"/>
          <c:showBubbleSize val="0"/>
        </c:dLbls>
        <c:gapWidth val="219"/>
        <c:overlap val="-27"/>
        <c:axId val="1333996496"/>
        <c:axId val="1333987856"/>
      </c:barChart>
      <c:catAx>
        <c:axId val="13339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987856"/>
        <c:crosses val="autoZero"/>
        <c:auto val="1"/>
        <c:lblAlgn val="ctr"/>
        <c:lblOffset val="100"/>
        <c:noMultiLvlLbl val="0"/>
      </c:catAx>
      <c:valAx>
        <c:axId val="13339878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99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Spendng Score per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Charts'!$B$34</c:f>
              <c:strCache>
                <c:ptCount val="1"/>
                <c:pt idx="0">
                  <c:v>Total</c:v>
                </c:pt>
              </c:strCache>
            </c:strRef>
          </c:tx>
          <c:spPr>
            <a:solidFill>
              <a:schemeClr val="accent1"/>
            </a:solidFill>
            <a:ln>
              <a:noFill/>
            </a:ln>
            <a:effectLst/>
          </c:spPr>
          <c:invertIfNegative val="0"/>
          <c:cat>
            <c:strRef>
              <c:f>'Pivot Table &amp; Charts'!$A$35:$A$40</c:f>
              <c:strCache>
                <c:ptCount val="5"/>
                <c:pt idx="0">
                  <c:v>18-25</c:v>
                </c:pt>
                <c:pt idx="1">
                  <c:v>26-35</c:v>
                </c:pt>
                <c:pt idx="2">
                  <c:v>36-45</c:v>
                </c:pt>
                <c:pt idx="3">
                  <c:v>46-55</c:v>
                </c:pt>
                <c:pt idx="4">
                  <c:v>56+</c:v>
                </c:pt>
              </c:strCache>
            </c:strRef>
          </c:cat>
          <c:val>
            <c:numRef>
              <c:f>'Pivot Table &amp; Charts'!$B$35:$B$40</c:f>
              <c:numCache>
                <c:formatCode>0.00</c:formatCode>
                <c:ptCount val="5"/>
                <c:pt idx="0">
                  <c:v>54.94736842105263</c:v>
                </c:pt>
                <c:pt idx="1">
                  <c:v>64.45</c:v>
                </c:pt>
                <c:pt idx="2">
                  <c:v>44.833333333333336</c:v>
                </c:pt>
                <c:pt idx="3">
                  <c:v>36.702702702702702</c:v>
                </c:pt>
                <c:pt idx="4">
                  <c:v>38.379310344827587</c:v>
                </c:pt>
              </c:numCache>
            </c:numRef>
          </c:val>
          <c:extLst>
            <c:ext xmlns:c16="http://schemas.microsoft.com/office/drawing/2014/chart" uri="{C3380CC4-5D6E-409C-BE32-E72D297353CC}">
              <c16:uniqueId val="{00000000-C992-4357-9594-59F979072E6A}"/>
            </c:ext>
          </c:extLst>
        </c:ser>
        <c:dLbls>
          <c:showLegendKey val="0"/>
          <c:showVal val="0"/>
          <c:showCatName val="0"/>
          <c:showSerName val="0"/>
          <c:showPercent val="0"/>
          <c:showBubbleSize val="0"/>
        </c:dLbls>
        <c:gapWidth val="182"/>
        <c:axId val="1644329968"/>
        <c:axId val="1644330448"/>
      </c:barChart>
      <c:catAx>
        <c:axId val="164432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30448"/>
        <c:crosses val="autoZero"/>
        <c:auto val="1"/>
        <c:lblAlgn val="ctr"/>
        <c:lblOffset val="100"/>
        <c:noMultiLvlLbl val="0"/>
      </c:catAx>
      <c:valAx>
        <c:axId val="16443304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2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vs </a:t>
            </a:r>
            <a:r>
              <a:rPr lang="en-IN"/>
              <a:t>Spending Score </a:t>
            </a:r>
          </a:p>
        </c:rich>
      </c:tx>
      <c:layout>
        <c:manualLayout>
          <c:xMode val="edge"/>
          <c:yMode val="edge"/>
          <c:x val="0.28699300087489066"/>
          <c:y val="2.833333085447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Dataset'!$E$1</c:f>
              <c:strCache>
                <c:ptCount val="1"/>
                <c:pt idx="0">
                  <c:v>Spending Score (1-100)</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 Dataset'!$D$2:$D$201</c:f>
              <c:numCache>
                <c:formatCode>General</c:formatCode>
                <c:ptCount val="200"/>
                <c:pt idx="0">
                  <c:v>15</c:v>
                </c:pt>
                <c:pt idx="1">
                  <c:v>15</c:v>
                </c:pt>
                <c:pt idx="2">
                  <c:v>16</c:v>
                </c:pt>
                <c:pt idx="3">
                  <c:v>16</c:v>
                </c:pt>
                <c:pt idx="4">
                  <c:v>17</c:v>
                </c:pt>
                <c:pt idx="5">
                  <c:v>17</c:v>
                </c:pt>
                <c:pt idx="6">
                  <c:v>18</c:v>
                </c:pt>
                <c:pt idx="7">
                  <c:v>18</c:v>
                </c:pt>
                <c:pt idx="8">
                  <c:v>19</c:v>
                </c:pt>
                <c:pt idx="9">
                  <c:v>19</c:v>
                </c:pt>
                <c:pt idx="10">
                  <c:v>19</c:v>
                </c:pt>
                <c:pt idx="11">
                  <c:v>19</c:v>
                </c:pt>
                <c:pt idx="12">
                  <c:v>20</c:v>
                </c:pt>
                <c:pt idx="13">
                  <c:v>20</c:v>
                </c:pt>
                <c:pt idx="14">
                  <c:v>20</c:v>
                </c:pt>
                <c:pt idx="15">
                  <c:v>20</c:v>
                </c:pt>
                <c:pt idx="16">
                  <c:v>21</c:v>
                </c:pt>
                <c:pt idx="17">
                  <c:v>21</c:v>
                </c:pt>
                <c:pt idx="18">
                  <c:v>23</c:v>
                </c:pt>
                <c:pt idx="19">
                  <c:v>23</c:v>
                </c:pt>
                <c:pt idx="20">
                  <c:v>24</c:v>
                </c:pt>
                <c:pt idx="21">
                  <c:v>24</c:v>
                </c:pt>
                <c:pt idx="22">
                  <c:v>25</c:v>
                </c:pt>
                <c:pt idx="23">
                  <c:v>25</c:v>
                </c:pt>
                <c:pt idx="24">
                  <c:v>28</c:v>
                </c:pt>
                <c:pt idx="25">
                  <c:v>28</c:v>
                </c:pt>
                <c:pt idx="26">
                  <c:v>28</c:v>
                </c:pt>
                <c:pt idx="27">
                  <c:v>28</c:v>
                </c:pt>
                <c:pt idx="28">
                  <c:v>29</c:v>
                </c:pt>
                <c:pt idx="29">
                  <c:v>29</c:v>
                </c:pt>
                <c:pt idx="30">
                  <c:v>30</c:v>
                </c:pt>
                <c:pt idx="31">
                  <c:v>30</c:v>
                </c:pt>
                <c:pt idx="32">
                  <c:v>33</c:v>
                </c:pt>
                <c:pt idx="33">
                  <c:v>33</c:v>
                </c:pt>
                <c:pt idx="34">
                  <c:v>33</c:v>
                </c:pt>
                <c:pt idx="35">
                  <c:v>33</c:v>
                </c:pt>
                <c:pt idx="36">
                  <c:v>34</c:v>
                </c:pt>
                <c:pt idx="37">
                  <c:v>34</c:v>
                </c:pt>
                <c:pt idx="38">
                  <c:v>37</c:v>
                </c:pt>
                <c:pt idx="39">
                  <c:v>37</c:v>
                </c:pt>
                <c:pt idx="40">
                  <c:v>38</c:v>
                </c:pt>
                <c:pt idx="41">
                  <c:v>38</c:v>
                </c:pt>
                <c:pt idx="42">
                  <c:v>39</c:v>
                </c:pt>
                <c:pt idx="43">
                  <c:v>39</c:v>
                </c:pt>
                <c:pt idx="44">
                  <c:v>39</c:v>
                </c:pt>
                <c:pt idx="45">
                  <c:v>39</c:v>
                </c:pt>
                <c:pt idx="46">
                  <c:v>40</c:v>
                </c:pt>
                <c:pt idx="47">
                  <c:v>40</c:v>
                </c:pt>
                <c:pt idx="48">
                  <c:v>40</c:v>
                </c:pt>
                <c:pt idx="49">
                  <c:v>40</c:v>
                </c:pt>
                <c:pt idx="50">
                  <c:v>42</c:v>
                </c:pt>
                <c:pt idx="51">
                  <c:v>42</c:v>
                </c:pt>
                <c:pt idx="52">
                  <c:v>43</c:v>
                </c:pt>
                <c:pt idx="53">
                  <c:v>43</c:v>
                </c:pt>
                <c:pt idx="54">
                  <c:v>43</c:v>
                </c:pt>
                <c:pt idx="55">
                  <c:v>43</c:v>
                </c:pt>
                <c:pt idx="56">
                  <c:v>44</c:v>
                </c:pt>
                <c:pt idx="57">
                  <c:v>44</c:v>
                </c:pt>
                <c:pt idx="58">
                  <c:v>46</c:v>
                </c:pt>
                <c:pt idx="59">
                  <c:v>46</c:v>
                </c:pt>
                <c:pt idx="60">
                  <c:v>46</c:v>
                </c:pt>
                <c:pt idx="61">
                  <c:v>46</c:v>
                </c:pt>
                <c:pt idx="62">
                  <c:v>47</c:v>
                </c:pt>
                <c:pt idx="63">
                  <c:v>47</c:v>
                </c:pt>
                <c:pt idx="64">
                  <c:v>48</c:v>
                </c:pt>
                <c:pt idx="65">
                  <c:v>48</c:v>
                </c:pt>
                <c:pt idx="66">
                  <c:v>48</c:v>
                </c:pt>
                <c:pt idx="67">
                  <c:v>48</c:v>
                </c:pt>
                <c:pt idx="68">
                  <c:v>48</c:v>
                </c:pt>
                <c:pt idx="69">
                  <c:v>48</c:v>
                </c:pt>
                <c:pt idx="70">
                  <c:v>49</c:v>
                </c:pt>
                <c:pt idx="71">
                  <c:v>49</c:v>
                </c:pt>
                <c:pt idx="72">
                  <c:v>50</c:v>
                </c:pt>
                <c:pt idx="73">
                  <c:v>50</c:v>
                </c:pt>
                <c:pt idx="74">
                  <c:v>54</c:v>
                </c:pt>
                <c:pt idx="75">
                  <c:v>54</c:v>
                </c:pt>
                <c:pt idx="76">
                  <c:v>54</c:v>
                </c:pt>
                <c:pt idx="77">
                  <c:v>54</c:v>
                </c:pt>
                <c:pt idx="78">
                  <c:v>54</c:v>
                </c:pt>
                <c:pt idx="79">
                  <c:v>54</c:v>
                </c:pt>
                <c:pt idx="80">
                  <c:v>54</c:v>
                </c:pt>
                <c:pt idx="81">
                  <c:v>54</c:v>
                </c:pt>
                <c:pt idx="82">
                  <c:v>54</c:v>
                </c:pt>
                <c:pt idx="83">
                  <c:v>54</c:v>
                </c:pt>
                <c:pt idx="84">
                  <c:v>54</c:v>
                </c:pt>
                <c:pt idx="85">
                  <c:v>54</c:v>
                </c:pt>
                <c:pt idx="86">
                  <c:v>57</c:v>
                </c:pt>
                <c:pt idx="87">
                  <c:v>57</c:v>
                </c:pt>
                <c:pt idx="88">
                  <c:v>58</c:v>
                </c:pt>
                <c:pt idx="89">
                  <c:v>58</c:v>
                </c:pt>
                <c:pt idx="90">
                  <c:v>59</c:v>
                </c:pt>
                <c:pt idx="91">
                  <c:v>59</c:v>
                </c:pt>
                <c:pt idx="92">
                  <c:v>60</c:v>
                </c:pt>
                <c:pt idx="93">
                  <c:v>60</c:v>
                </c:pt>
                <c:pt idx="94">
                  <c:v>60</c:v>
                </c:pt>
                <c:pt idx="95">
                  <c:v>60</c:v>
                </c:pt>
                <c:pt idx="96">
                  <c:v>60</c:v>
                </c:pt>
                <c:pt idx="97">
                  <c:v>60</c:v>
                </c:pt>
                <c:pt idx="98">
                  <c:v>61</c:v>
                </c:pt>
                <c:pt idx="99">
                  <c:v>61</c:v>
                </c:pt>
                <c:pt idx="100">
                  <c:v>62</c:v>
                </c:pt>
                <c:pt idx="101">
                  <c:v>62</c:v>
                </c:pt>
                <c:pt idx="102">
                  <c:v>62</c:v>
                </c:pt>
                <c:pt idx="103">
                  <c:v>62</c:v>
                </c:pt>
                <c:pt idx="104">
                  <c:v>62</c:v>
                </c:pt>
                <c:pt idx="105">
                  <c:v>62</c:v>
                </c:pt>
                <c:pt idx="106">
                  <c:v>63</c:v>
                </c:pt>
                <c:pt idx="107">
                  <c:v>63</c:v>
                </c:pt>
                <c:pt idx="108">
                  <c:v>63</c:v>
                </c:pt>
                <c:pt idx="109">
                  <c:v>63</c:v>
                </c:pt>
                <c:pt idx="110">
                  <c:v>63</c:v>
                </c:pt>
                <c:pt idx="111">
                  <c:v>63</c:v>
                </c:pt>
                <c:pt idx="112">
                  <c:v>64</c:v>
                </c:pt>
                <c:pt idx="113">
                  <c:v>64</c:v>
                </c:pt>
                <c:pt idx="114">
                  <c:v>65</c:v>
                </c:pt>
                <c:pt idx="115">
                  <c:v>65</c:v>
                </c:pt>
                <c:pt idx="116">
                  <c:v>65</c:v>
                </c:pt>
                <c:pt idx="117">
                  <c:v>65</c:v>
                </c:pt>
                <c:pt idx="118">
                  <c:v>67</c:v>
                </c:pt>
                <c:pt idx="119">
                  <c:v>67</c:v>
                </c:pt>
                <c:pt idx="120">
                  <c:v>67</c:v>
                </c:pt>
                <c:pt idx="121">
                  <c:v>67</c:v>
                </c:pt>
                <c:pt idx="122">
                  <c:v>69</c:v>
                </c:pt>
                <c:pt idx="123">
                  <c:v>69</c:v>
                </c:pt>
                <c:pt idx="124">
                  <c:v>70</c:v>
                </c:pt>
                <c:pt idx="125">
                  <c:v>70</c:v>
                </c:pt>
                <c:pt idx="126">
                  <c:v>71</c:v>
                </c:pt>
                <c:pt idx="127">
                  <c:v>71</c:v>
                </c:pt>
                <c:pt idx="128">
                  <c:v>71</c:v>
                </c:pt>
                <c:pt idx="129">
                  <c:v>71</c:v>
                </c:pt>
                <c:pt idx="130">
                  <c:v>71</c:v>
                </c:pt>
                <c:pt idx="131">
                  <c:v>71</c:v>
                </c:pt>
                <c:pt idx="132">
                  <c:v>72</c:v>
                </c:pt>
                <c:pt idx="133">
                  <c:v>72</c:v>
                </c:pt>
                <c:pt idx="134">
                  <c:v>73</c:v>
                </c:pt>
                <c:pt idx="135">
                  <c:v>73</c:v>
                </c:pt>
                <c:pt idx="136">
                  <c:v>73</c:v>
                </c:pt>
                <c:pt idx="137">
                  <c:v>73</c:v>
                </c:pt>
                <c:pt idx="138">
                  <c:v>74</c:v>
                </c:pt>
                <c:pt idx="139">
                  <c:v>74</c:v>
                </c:pt>
                <c:pt idx="140">
                  <c:v>75</c:v>
                </c:pt>
                <c:pt idx="141">
                  <c:v>75</c:v>
                </c:pt>
                <c:pt idx="142">
                  <c:v>76</c:v>
                </c:pt>
                <c:pt idx="143">
                  <c:v>76</c:v>
                </c:pt>
                <c:pt idx="144">
                  <c:v>77</c:v>
                </c:pt>
                <c:pt idx="145">
                  <c:v>77</c:v>
                </c:pt>
                <c:pt idx="146">
                  <c:v>77</c:v>
                </c:pt>
                <c:pt idx="147">
                  <c:v>77</c:v>
                </c:pt>
                <c:pt idx="148">
                  <c:v>78</c:v>
                </c:pt>
                <c:pt idx="149">
                  <c:v>78</c:v>
                </c:pt>
                <c:pt idx="150">
                  <c:v>78</c:v>
                </c:pt>
                <c:pt idx="151">
                  <c:v>78</c:v>
                </c:pt>
                <c:pt idx="152">
                  <c:v>78</c:v>
                </c:pt>
                <c:pt idx="153">
                  <c:v>78</c:v>
                </c:pt>
                <c:pt idx="154">
                  <c:v>78</c:v>
                </c:pt>
                <c:pt idx="155">
                  <c:v>78</c:v>
                </c:pt>
                <c:pt idx="156">
                  <c:v>78</c:v>
                </c:pt>
                <c:pt idx="157">
                  <c:v>78</c:v>
                </c:pt>
                <c:pt idx="158">
                  <c:v>78</c:v>
                </c:pt>
                <c:pt idx="159">
                  <c:v>78</c:v>
                </c:pt>
                <c:pt idx="160">
                  <c:v>79</c:v>
                </c:pt>
                <c:pt idx="161">
                  <c:v>79</c:v>
                </c:pt>
                <c:pt idx="162">
                  <c:v>81</c:v>
                </c:pt>
                <c:pt idx="163">
                  <c:v>81</c:v>
                </c:pt>
                <c:pt idx="164">
                  <c:v>85</c:v>
                </c:pt>
                <c:pt idx="165">
                  <c:v>85</c:v>
                </c:pt>
                <c:pt idx="166">
                  <c:v>86</c:v>
                </c:pt>
                <c:pt idx="167">
                  <c:v>86</c:v>
                </c:pt>
                <c:pt idx="168">
                  <c:v>87</c:v>
                </c:pt>
                <c:pt idx="169">
                  <c:v>87</c:v>
                </c:pt>
                <c:pt idx="170">
                  <c:v>87</c:v>
                </c:pt>
                <c:pt idx="171">
                  <c:v>87</c:v>
                </c:pt>
                <c:pt idx="172">
                  <c:v>87</c:v>
                </c:pt>
                <c:pt idx="173">
                  <c:v>87</c:v>
                </c:pt>
                <c:pt idx="174">
                  <c:v>88</c:v>
                </c:pt>
                <c:pt idx="175">
                  <c:v>88</c:v>
                </c:pt>
                <c:pt idx="176">
                  <c:v>88</c:v>
                </c:pt>
                <c:pt idx="177">
                  <c:v>88</c:v>
                </c:pt>
                <c:pt idx="178">
                  <c:v>93</c:v>
                </c:pt>
                <c:pt idx="179">
                  <c:v>93</c:v>
                </c:pt>
                <c:pt idx="180">
                  <c:v>97</c:v>
                </c:pt>
                <c:pt idx="181">
                  <c:v>97</c:v>
                </c:pt>
                <c:pt idx="182">
                  <c:v>98</c:v>
                </c:pt>
                <c:pt idx="183">
                  <c:v>98</c:v>
                </c:pt>
                <c:pt idx="184">
                  <c:v>99</c:v>
                </c:pt>
                <c:pt idx="185">
                  <c:v>99</c:v>
                </c:pt>
                <c:pt idx="186">
                  <c:v>101</c:v>
                </c:pt>
                <c:pt idx="187">
                  <c:v>101</c:v>
                </c:pt>
                <c:pt idx="188">
                  <c:v>103</c:v>
                </c:pt>
                <c:pt idx="189">
                  <c:v>103</c:v>
                </c:pt>
                <c:pt idx="190">
                  <c:v>103</c:v>
                </c:pt>
                <c:pt idx="191">
                  <c:v>103</c:v>
                </c:pt>
                <c:pt idx="192">
                  <c:v>113</c:v>
                </c:pt>
                <c:pt idx="193">
                  <c:v>113</c:v>
                </c:pt>
                <c:pt idx="194">
                  <c:v>120</c:v>
                </c:pt>
                <c:pt idx="195">
                  <c:v>120</c:v>
                </c:pt>
                <c:pt idx="196">
                  <c:v>126</c:v>
                </c:pt>
                <c:pt idx="197">
                  <c:v>126</c:v>
                </c:pt>
                <c:pt idx="198">
                  <c:v>137</c:v>
                </c:pt>
                <c:pt idx="199">
                  <c:v>137</c:v>
                </c:pt>
              </c:numCache>
            </c:numRef>
          </c:xVal>
          <c:yVal>
            <c:numRef>
              <c:f>'Raw Dataset'!$E$2:$E$201</c:f>
              <c:numCache>
                <c:formatCode>General</c:formatCode>
                <c:ptCount val="200"/>
                <c:pt idx="0">
                  <c:v>39</c:v>
                </c:pt>
                <c:pt idx="1">
                  <c:v>81</c:v>
                </c:pt>
                <c:pt idx="2">
                  <c:v>6</c:v>
                </c:pt>
                <c:pt idx="3">
                  <c:v>77</c:v>
                </c:pt>
                <c:pt idx="4">
                  <c:v>40</c:v>
                </c:pt>
                <c:pt idx="5">
                  <c:v>76</c:v>
                </c:pt>
                <c:pt idx="6">
                  <c:v>6</c:v>
                </c:pt>
                <c:pt idx="7">
                  <c:v>94</c:v>
                </c:pt>
                <c:pt idx="8">
                  <c:v>3</c:v>
                </c:pt>
                <c:pt idx="9">
                  <c:v>72</c:v>
                </c:pt>
                <c:pt idx="10">
                  <c:v>14</c:v>
                </c:pt>
                <c:pt idx="11">
                  <c:v>99</c:v>
                </c:pt>
                <c:pt idx="12">
                  <c:v>15</c:v>
                </c:pt>
                <c:pt idx="13">
                  <c:v>77</c:v>
                </c:pt>
                <c:pt idx="14">
                  <c:v>13</c:v>
                </c:pt>
                <c:pt idx="15">
                  <c:v>79</c:v>
                </c:pt>
                <c:pt idx="16">
                  <c:v>35</c:v>
                </c:pt>
                <c:pt idx="17">
                  <c:v>66</c:v>
                </c:pt>
                <c:pt idx="18">
                  <c:v>29</c:v>
                </c:pt>
                <c:pt idx="19">
                  <c:v>98</c:v>
                </c:pt>
                <c:pt idx="20">
                  <c:v>35</c:v>
                </c:pt>
                <c:pt idx="21">
                  <c:v>73</c:v>
                </c:pt>
                <c:pt idx="22">
                  <c:v>5</c:v>
                </c:pt>
                <c:pt idx="23">
                  <c:v>73</c:v>
                </c:pt>
                <c:pt idx="24">
                  <c:v>14</c:v>
                </c:pt>
                <c:pt idx="25">
                  <c:v>82</c:v>
                </c:pt>
                <c:pt idx="26">
                  <c:v>32</c:v>
                </c:pt>
                <c:pt idx="27">
                  <c:v>61</c:v>
                </c:pt>
                <c:pt idx="28">
                  <c:v>31</c:v>
                </c:pt>
                <c:pt idx="29">
                  <c:v>87</c:v>
                </c:pt>
                <c:pt idx="30">
                  <c:v>4</c:v>
                </c:pt>
                <c:pt idx="31">
                  <c:v>73</c:v>
                </c:pt>
                <c:pt idx="32">
                  <c:v>4</c:v>
                </c:pt>
                <c:pt idx="33">
                  <c:v>92</c:v>
                </c:pt>
                <c:pt idx="34">
                  <c:v>14</c:v>
                </c:pt>
                <c:pt idx="35">
                  <c:v>81</c:v>
                </c:pt>
                <c:pt idx="36">
                  <c:v>17</c:v>
                </c:pt>
                <c:pt idx="37">
                  <c:v>73</c:v>
                </c:pt>
                <c:pt idx="38">
                  <c:v>26</c:v>
                </c:pt>
                <c:pt idx="39">
                  <c:v>75</c:v>
                </c:pt>
                <c:pt idx="40">
                  <c:v>35</c:v>
                </c:pt>
                <c:pt idx="41">
                  <c:v>92</c:v>
                </c:pt>
                <c:pt idx="42">
                  <c:v>36</c:v>
                </c:pt>
                <c:pt idx="43">
                  <c:v>61</c:v>
                </c:pt>
                <c:pt idx="44">
                  <c:v>28</c:v>
                </c:pt>
                <c:pt idx="45">
                  <c:v>65</c:v>
                </c:pt>
                <c:pt idx="46">
                  <c:v>55</c:v>
                </c:pt>
                <c:pt idx="47">
                  <c:v>47</c:v>
                </c:pt>
                <c:pt idx="48">
                  <c:v>42</c:v>
                </c:pt>
                <c:pt idx="49">
                  <c:v>42</c:v>
                </c:pt>
                <c:pt idx="50">
                  <c:v>52</c:v>
                </c:pt>
                <c:pt idx="51">
                  <c:v>60</c:v>
                </c:pt>
                <c:pt idx="52">
                  <c:v>54</c:v>
                </c:pt>
                <c:pt idx="53">
                  <c:v>60</c:v>
                </c:pt>
                <c:pt idx="54">
                  <c:v>45</c:v>
                </c:pt>
                <c:pt idx="55">
                  <c:v>41</c:v>
                </c:pt>
                <c:pt idx="56">
                  <c:v>50</c:v>
                </c:pt>
                <c:pt idx="57">
                  <c:v>46</c:v>
                </c:pt>
                <c:pt idx="58">
                  <c:v>51</c:v>
                </c:pt>
                <c:pt idx="59">
                  <c:v>46</c:v>
                </c:pt>
                <c:pt idx="60">
                  <c:v>56</c:v>
                </c:pt>
                <c:pt idx="61">
                  <c:v>55</c:v>
                </c:pt>
                <c:pt idx="62">
                  <c:v>52</c:v>
                </c:pt>
                <c:pt idx="63">
                  <c:v>59</c:v>
                </c:pt>
                <c:pt idx="64">
                  <c:v>51</c:v>
                </c:pt>
                <c:pt idx="65">
                  <c:v>59</c:v>
                </c:pt>
                <c:pt idx="66">
                  <c:v>50</c:v>
                </c:pt>
                <c:pt idx="67">
                  <c:v>48</c:v>
                </c:pt>
                <c:pt idx="68">
                  <c:v>59</c:v>
                </c:pt>
                <c:pt idx="69">
                  <c:v>47</c:v>
                </c:pt>
                <c:pt idx="70">
                  <c:v>55</c:v>
                </c:pt>
                <c:pt idx="71">
                  <c:v>42</c:v>
                </c:pt>
                <c:pt idx="72">
                  <c:v>49</c:v>
                </c:pt>
                <c:pt idx="73">
                  <c:v>56</c:v>
                </c:pt>
                <c:pt idx="74">
                  <c:v>47</c:v>
                </c:pt>
                <c:pt idx="75">
                  <c:v>54</c:v>
                </c:pt>
                <c:pt idx="76">
                  <c:v>53</c:v>
                </c:pt>
                <c:pt idx="77">
                  <c:v>48</c:v>
                </c:pt>
                <c:pt idx="78">
                  <c:v>52</c:v>
                </c:pt>
                <c:pt idx="79">
                  <c:v>42</c:v>
                </c:pt>
                <c:pt idx="80">
                  <c:v>51</c:v>
                </c:pt>
                <c:pt idx="81">
                  <c:v>55</c:v>
                </c:pt>
                <c:pt idx="82">
                  <c:v>41</c:v>
                </c:pt>
                <c:pt idx="83">
                  <c:v>44</c:v>
                </c:pt>
                <c:pt idx="84">
                  <c:v>57</c:v>
                </c:pt>
                <c:pt idx="85">
                  <c:v>46</c:v>
                </c:pt>
                <c:pt idx="86">
                  <c:v>58</c:v>
                </c:pt>
                <c:pt idx="87">
                  <c:v>55</c:v>
                </c:pt>
                <c:pt idx="88">
                  <c:v>60</c:v>
                </c:pt>
                <c:pt idx="89">
                  <c:v>46</c:v>
                </c:pt>
                <c:pt idx="90">
                  <c:v>55</c:v>
                </c:pt>
                <c:pt idx="91">
                  <c:v>41</c:v>
                </c:pt>
                <c:pt idx="92">
                  <c:v>49</c:v>
                </c:pt>
                <c:pt idx="93">
                  <c:v>40</c:v>
                </c:pt>
                <c:pt idx="94">
                  <c:v>42</c:v>
                </c:pt>
                <c:pt idx="95">
                  <c:v>52</c:v>
                </c:pt>
                <c:pt idx="96">
                  <c:v>47</c:v>
                </c:pt>
                <c:pt idx="97">
                  <c:v>50</c:v>
                </c:pt>
                <c:pt idx="98">
                  <c:v>42</c:v>
                </c:pt>
                <c:pt idx="99">
                  <c:v>49</c:v>
                </c:pt>
                <c:pt idx="100">
                  <c:v>41</c:v>
                </c:pt>
                <c:pt idx="101">
                  <c:v>48</c:v>
                </c:pt>
                <c:pt idx="102">
                  <c:v>59</c:v>
                </c:pt>
                <c:pt idx="103">
                  <c:v>55</c:v>
                </c:pt>
                <c:pt idx="104">
                  <c:v>56</c:v>
                </c:pt>
                <c:pt idx="105">
                  <c:v>42</c:v>
                </c:pt>
                <c:pt idx="106">
                  <c:v>50</c:v>
                </c:pt>
                <c:pt idx="107">
                  <c:v>46</c:v>
                </c:pt>
                <c:pt idx="108">
                  <c:v>43</c:v>
                </c:pt>
                <c:pt idx="109">
                  <c:v>48</c:v>
                </c:pt>
                <c:pt idx="110">
                  <c:v>52</c:v>
                </c:pt>
                <c:pt idx="111">
                  <c:v>54</c:v>
                </c:pt>
                <c:pt idx="112">
                  <c:v>42</c:v>
                </c:pt>
                <c:pt idx="113">
                  <c:v>46</c:v>
                </c:pt>
                <c:pt idx="114">
                  <c:v>48</c:v>
                </c:pt>
                <c:pt idx="115">
                  <c:v>50</c:v>
                </c:pt>
                <c:pt idx="116">
                  <c:v>43</c:v>
                </c:pt>
                <c:pt idx="117">
                  <c:v>59</c:v>
                </c:pt>
                <c:pt idx="118">
                  <c:v>43</c:v>
                </c:pt>
                <c:pt idx="119">
                  <c:v>57</c:v>
                </c:pt>
                <c:pt idx="120">
                  <c:v>56</c:v>
                </c:pt>
                <c:pt idx="121">
                  <c:v>40</c:v>
                </c:pt>
                <c:pt idx="122">
                  <c:v>58</c:v>
                </c:pt>
                <c:pt idx="123">
                  <c:v>91</c:v>
                </c:pt>
                <c:pt idx="124">
                  <c:v>29</c:v>
                </c:pt>
                <c:pt idx="125">
                  <c:v>77</c:v>
                </c:pt>
                <c:pt idx="126">
                  <c:v>35</c:v>
                </c:pt>
                <c:pt idx="127">
                  <c:v>95</c:v>
                </c:pt>
                <c:pt idx="128">
                  <c:v>11</c:v>
                </c:pt>
                <c:pt idx="129">
                  <c:v>75</c:v>
                </c:pt>
                <c:pt idx="130">
                  <c:v>9</c:v>
                </c:pt>
                <c:pt idx="131">
                  <c:v>75</c:v>
                </c:pt>
                <c:pt idx="132">
                  <c:v>34</c:v>
                </c:pt>
                <c:pt idx="133">
                  <c:v>71</c:v>
                </c:pt>
                <c:pt idx="134">
                  <c:v>5</c:v>
                </c:pt>
                <c:pt idx="135">
                  <c:v>88</c:v>
                </c:pt>
                <c:pt idx="136">
                  <c:v>7</c:v>
                </c:pt>
                <c:pt idx="137">
                  <c:v>73</c:v>
                </c:pt>
                <c:pt idx="138">
                  <c:v>10</c:v>
                </c:pt>
                <c:pt idx="139">
                  <c:v>72</c:v>
                </c:pt>
                <c:pt idx="140">
                  <c:v>5</c:v>
                </c:pt>
                <c:pt idx="141">
                  <c:v>93</c:v>
                </c:pt>
                <c:pt idx="142">
                  <c:v>40</c:v>
                </c:pt>
                <c:pt idx="143">
                  <c:v>87</c:v>
                </c:pt>
                <c:pt idx="144">
                  <c:v>12</c:v>
                </c:pt>
                <c:pt idx="145">
                  <c:v>97</c:v>
                </c:pt>
                <c:pt idx="146">
                  <c:v>36</c:v>
                </c:pt>
                <c:pt idx="147">
                  <c:v>74</c:v>
                </c:pt>
                <c:pt idx="148">
                  <c:v>22</c:v>
                </c:pt>
                <c:pt idx="149">
                  <c:v>90</c:v>
                </c:pt>
                <c:pt idx="150">
                  <c:v>17</c:v>
                </c:pt>
                <c:pt idx="151">
                  <c:v>88</c:v>
                </c:pt>
                <c:pt idx="152">
                  <c:v>20</c:v>
                </c:pt>
                <c:pt idx="153">
                  <c:v>76</c:v>
                </c:pt>
                <c:pt idx="154">
                  <c:v>16</c:v>
                </c:pt>
                <c:pt idx="155">
                  <c:v>89</c:v>
                </c:pt>
                <c:pt idx="156">
                  <c:v>1</c:v>
                </c:pt>
                <c:pt idx="157">
                  <c:v>78</c:v>
                </c:pt>
                <c:pt idx="158">
                  <c:v>1</c:v>
                </c:pt>
                <c:pt idx="159">
                  <c:v>73</c:v>
                </c:pt>
                <c:pt idx="160">
                  <c:v>35</c:v>
                </c:pt>
                <c:pt idx="161">
                  <c:v>83</c:v>
                </c:pt>
                <c:pt idx="162">
                  <c:v>5</c:v>
                </c:pt>
                <c:pt idx="163">
                  <c:v>93</c:v>
                </c:pt>
                <c:pt idx="164">
                  <c:v>26</c:v>
                </c:pt>
                <c:pt idx="165">
                  <c:v>75</c:v>
                </c:pt>
                <c:pt idx="166">
                  <c:v>20</c:v>
                </c:pt>
                <c:pt idx="167">
                  <c:v>95</c:v>
                </c:pt>
                <c:pt idx="168">
                  <c:v>27</c:v>
                </c:pt>
                <c:pt idx="169">
                  <c:v>63</c:v>
                </c:pt>
                <c:pt idx="170">
                  <c:v>13</c:v>
                </c:pt>
                <c:pt idx="171">
                  <c:v>75</c:v>
                </c:pt>
                <c:pt idx="172">
                  <c:v>10</c:v>
                </c:pt>
                <c:pt idx="173">
                  <c:v>92</c:v>
                </c:pt>
                <c:pt idx="174">
                  <c:v>13</c:v>
                </c:pt>
                <c:pt idx="175">
                  <c:v>86</c:v>
                </c:pt>
                <c:pt idx="176">
                  <c:v>15</c:v>
                </c:pt>
                <c:pt idx="177">
                  <c:v>69</c:v>
                </c:pt>
                <c:pt idx="178">
                  <c:v>14</c:v>
                </c:pt>
                <c:pt idx="179">
                  <c:v>90</c:v>
                </c:pt>
                <c:pt idx="180">
                  <c:v>32</c:v>
                </c:pt>
                <c:pt idx="181">
                  <c:v>86</c:v>
                </c:pt>
                <c:pt idx="182">
                  <c:v>15</c:v>
                </c:pt>
                <c:pt idx="183">
                  <c:v>88</c:v>
                </c:pt>
                <c:pt idx="184">
                  <c:v>39</c:v>
                </c:pt>
                <c:pt idx="185">
                  <c:v>97</c:v>
                </c:pt>
                <c:pt idx="186">
                  <c:v>24</c:v>
                </c:pt>
                <c:pt idx="187">
                  <c:v>68</c:v>
                </c:pt>
                <c:pt idx="188">
                  <c:v>17</c:v>
                </c:pt>
                <c:pt idx="189">
                  <c:v>85</c:v>
                </c:pt>
                <c:pt idx="190">
                  <c:v>23</c:v>
                </c:pt>
                <c:pt idx="191">
                  <c:v>69</c:v>
                </c:pt>
                <c:pt idx="192">
                  <c:v>8</c:v>
                </c:pt>
                <c:pt idx="193">
                  <c:v>91</c:v>
                </c:pt>
                <c:pt idx="194">
                  <c:v>16</c:v>
                </c:pt>
                <c:pt idx="195">
                  <c:v>79</c:v>
                </c:pt>
                <c:pt idx="196">
                  <c:v>28</c:v>
                </c:pt>
                <c:pt idx="197">
                  <c:v>74</c:v>
                </c:pt>
                <c:pt idx="198">
                  <c:v>18</c:v>
                </c:pt>
                <c:pt idx="199">
                  <c:v>83</c:v>
                </c:pt>
              </c:numCache>
            </c:numRef>
          </c:yVal>
          <c:smooth val="0"/>
          <c:extLst>
            <c:ext xmlns:c16="http://schemas.microsoft.com/office/drawing/2014/chart" uri="{C3380CC4-5D6E-409C-BE32-E72D297353CC}">
              <c16:uniqueId val="{00000000-79D7-48C4-9E7B-0508ABC2373C}"/>
            </c:ext>
          </c:extLst>
        </c:ser>
        <c:dLbls>
          <c:showLegendKey val="0"/>
          <c:showVal val="0"/>
          <c:showCatName val="0"/>
          <c:showSerName val="0"/>
          <c:showPercent val="0"/>
          <c:showBubbleSize val="0"/>
        </c:dLbls>
        <c:axId val="1644307408"/>
        <c:axId val="1644315088"/>
      </c:scatterChart>
      <c:valAx>
        <c:axId val="164430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15088"/>
        <c:crosses val="autoZero"/>
        <c:crossBetween val="midCat"/>
      </c:valAx>
      <c:valAx>
        <c:axId val="164431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7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rgbClr val="FFC000"/>
          </a:solidFill>
          <a:ln>
            <a:noFill/>
          </a:ln>
          <a:effectLst/>
        </c:spPr>
      </c:pivotFmt>
      <c:pivotFmt>
        <c:idx val="5"/>
        <c:spPr>
          <a:solidFill>
            <a:schemeClr val="accent6"/>
          </a:solidFill>
          <a:ln>
            <a:noFill/>
          </a:ln>
          <a:effectLst/>
        </c:spPr>
      </c:pivotFmt>
      <c:pivotFmt>
        <c:idx val="6"/>
        <c:spPr>
          <a:solidFill>
            <a:srgbClr val="FF0000"/>
          </a:solidFill>
          <a:ln>
            <a:noFill/>
          </a:ln>
          <a:effectLst/>
        </c:spPr>
      </c:pivotFmt>
    </c:pivotFmts>
    <c:plotArea>
      <c:layout/>
      <c:barChart>
        <c:barDir val="bar"/>
        <c:grouping val="clustered"/>
        <c:varyColors val="0"/>
        <c:ser>
          <c:idx val="0"/>
          <c:order val="0"/>
          <c:tx>
            <c:strRef>
              <c:f>'Pivot Table &amp; Charts'!$B$69</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DAA9-41AB-A01F-A3005E8B5585}"/>
              </c:ext>
            </c:extLst>
          </c:dPt>
          <c:dPt>
            <c:idx val="1"/>
            <c:invertIfNegative val="0"/>
            <c:bubble3D val="0"/>
            <c:spPr>
              <a:solidFill>
                <a:srgbClr val="FFC000"/>
              </a:solidFill>
              <a:ln>
                <a:noFill/>
              </a:ln>
              <a:effectLst/>
            </c:spPr>
            <c:extLst>
              <c:ext xmlns:c16="http://schemas.microsoft.com/office/drawing/2014/chart" uri="{C3380CC4-5D6E-409C-BE32-E72D297353CC}">
                <c16:uniqueId val="{00000002-DAA9-41AB-A01F-A3005E8B5585}"/>
              </c:ext>
            </c:extLst>
          </c:dPt>
          <c:dPt>
            <c:idx val="2"/>
            <c:invertIfNegative val="0"/>
            <c:bubble3D val="0"/>
            <c:spPr>
              <a:solidFill>
                <a:srgbClr val="FF0000"/>
              </a:solidFill>
              <a:ln>
                <a:noFill/>
              </a:ln>
              <a:effectLst/>
            </c:spPr>
            <c:extLst>
              <c:ext xmlns:c16="http://schemas.microsoft.com/office/drawing/2014/chart" uri="{C3380CC4-5D6E-409C-BE32-E72D297353CC}">
                <c16:uniqueId val="{00000004-DAA9-41AB-A01F-A3005E8B558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DAA9-41AB-A01F-A3005E8B5585}"/>
              </c:ext>
            </c:extLst>
          </c:dPt>
          <c:cat>
            <c:strRef>
              <c:f>'Pivot Table &amp; Charts'!$A$70:$A$74</c:f>
              <c:strCache>
                <c:ptCount val="4"/>
                <c:pt idx="0">
                  <c:v>High Value</c:v>
                </c:pt>
                <c:pt idx="1">
                  <c:v>Impulsive</c:v>
                </c:pt>
                <c:pt idx="2">
                  <c:v>Low Value</c:v>
                </c:pt>
                <c:pt idx="3">
                  <c:v>Potential</c:v>
                </c:pt>
              </c:strCache>
            </c:strRef>
          </c:cat>
          <c:val>
            <c:numRef>
              <c:f>'Pivot Table &amp; Charts'!$B$70:$B$74</c:f>
              <c:numCache>
                <c:formatCode>General</c:formatCode>
                <c:ptCount val="4"/>
                <c:pt idx="0">
                  <c:v>2927</c:v>
                </c:pt>
                <c:pt idx="1">
                  <c:v>547</c:v>
                </c:pt>
                <c:pt idx="2">
                  <c:v>4953</c:v>
                </c:pt>
                <c:pt idx="3">
                  <c:v>3685</c:v>
                </c:pt>
              </c:numCache>
            </c:numRef>
          </c:val>
          <c:extLst>
            <c:ext xmlns:c16="http://schemas.microsoft.com/office/drawing/2014/chart" uri="{C3380CC4-5D6E-409C-BE32-E72D297353CC}">
              <c16:uniqueId val="{00000000-DAA9-41AB-A01F-A3005E8B5585}"/>
            </c:ext>
          </c:extLst>
        </c:ser>
        <c:dLbls>
          <c:showLegendKey val="0"/>
          <c:showVal val="0"/>
          <c:showCatName val="0"/>
          <c:showSerName val="0"/>
          <c:showPercent val="0"/>
          <c:showBubbleSize val="0"/>
        </c:dLbls>
        <c:gapWidth val="182"/>
        <c:axId val="1866819600"/>
        <c:axId val="1866829200"/>
      </c:barChart>
      <c:catAx>
        <c:axId val="186681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29200"/>
        <c:crosses val="autoZero"/>
        <c:auto val="1"/>
        <c:lblAlgn val="ctr"/>
        <c:lblOffset val="100"/>
        <c:noMultiLvlLbl val="0"/>
      </c:catAx>
      <c:valAx>
        <c:axId val="186682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1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 &amp; 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18-4B7B-A5DB-0878B3AD9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18-4B7B-A5DB-0878B3AD9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18-4B7B-A5DB-0878B3AD9A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18-4B7B-A5DB-0878B3AD9A1A}"/>
              </c:ext>
            </c:extLst>
          </c:dPt>
          <c:cat>
            <c:strRef>
              <c:f>'Pivot Table &amp; Charts'!$A$4:$A$8</c:f>
              <c:strCache>
                <c:ptCount val="4"/>
                <c:pt idx="0">
                  <c:v>High Value</c:v>
                </c:pt>
                <c:pt idx="1">
                  <c:v>Impulsive</c:v>
                </c:pt>
                <c:pt idx="2">
                  <c:v>Low Value</c:v>
                </c:pt>
                <c:pt idx="3">
                  <c:v>Potential</c:v>
                </c:pt>
              </c:strCache>
            </c:strRef>
          </c:cat>
          <c:val>
            <c:numRef>
              <c:f>'Pivot Table &amp; Charts'!$B$4:$B$8</c:f>
              <c:numCache>
                <c:formatCode>General</c:formatCode>
                <c:ptCount val="4"/>
                <c:pt idx="0">
                  <c:v>34</c:v>
                </c:pt>
                <c:pt idx="1">
                  <c:v>20</c:v>
                </c:pt>
                <c:pt idx="2">
                  <c:v>104</c:v>
                </c:pt>
                <c:pt idx="3">
                  <c:v>42</c:v>
                </c:pt>
              </c:numCache>
            </c:numRef>
          </c:val>
          <c:extLst>
            <c:ext xmlns:c16="http://schemas.microsoft.com/office/drawing/2014/chart" uri="{C3380CC4-5D6E-409C-BE32-E72D297353CC}">
              <c16:uniqueId val="{00000000-DA4F-4B65-A85D-DEC7D919EE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Spending Score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9759405074367"/>
          <c:y val="0.26791447944006996"/>
          <c:w val="0.75481714785651799"/>
          <c:h val="0.53774387576552929"/>
        </c:manualLayout>
      </c:layout>
      <c:barChart>
        <c:barDir val="col"/>
        <c:grouping val="clustered"/>
        <c:varyColors val="0"/>
        <c:ser>
          <c:idx val="0"/>
          <c:order val="0"/>
          <c:tx>
            <c:strRef>
              <c:f>'Pivot Table &amp; Charts'!$B$18</c:f>
              <c:strCache>
                <c:ptCount val="1"/>
                <c:pt idx="0">
                  <c:v>Total</c:v>
                </c:pt>
              </c:strCache>
            </c:strRef>
          </c:tx>
          <c:spPr>
            <a:solidFill>
              <a:schemeClr val="accent1"/>
            </a:solidFill>
            <a:ln>
              <a:noFill/>
            </a:ln>
            <a:effectLst/>
          </c:spPr>
          <c:invertIfNegative val="0"/>
          <c:cat>
            <c:strRef>
              <c:f>'Pivot Table &amp; Charts'!$A$19:$A$21</c:f>
              <c:strCache>
                <c:ptCount val="2"/>
                <c:pt idx="0">
                  <c:v>Female</c:v>
                </c:pt>
                <c:pt idx="1">
                  <c:v>Male</c:v>
                </c:pt>
              </c:strCache>
            </c:strRef>
          </c:cat>
          <c:val>
            <c:numRef>
              <c:f>'Pivot Table &amp; Charts'!$B$19:$B$21</c:f>
              <c:numCache>
                <c:formatCode>0.00</c:formatCode>
                <c:ptCount val="2"/>
                <c:pt idx="0">
                  <c:v>51.526785714285715</c:v>
                </c:pt>
                <c:pt idx="1">
                  <c:v>48.511363636363633</c:v>
                </c:pt>
              </c:numCache>
            </c:numRef>
          </c:val>
          <c:extLst>
            <c:ext xmlns:c16="http://schemas.microsoft.com/office/drawing/2014/chart" uri="{C3380CC4-5D6E-409C-BE32-E72D297353CC}">
              <c16:uniqueId val="{00000000-8185-4C7F-A448-6FE3E1F71022}"/>
            </c:ext>
          </c:extLst>
        </c:ser>
        <c:dLbls>
          <c:showLegendKey val="0"/>
          <c:showVal val="0"/>
          <c:showCatName val="0"/>
          <c:showSerName val="0"/>
          <c:showPercent val="0"/>
          <c:showBubbleSize val="0"/>
        </c:dLbls>
        <c:gapWidth val="219"/>
        <c:overlap val="-27"/>
        <c:axId val="1333996496"/>
        <c:axId val="1333987856"/>
      </c:barChart>
      <c:catAx>
        <c:axId val="13339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987856"/>
        <c:crosses val="autoZero"/>
        <c:auto val="1"/>
        <c:lblAlgn val="ctr"/>
        <c:lblOffset val="100"/>
        <c:noMultiLvlLbl val="0"/>
      </c:catAx>
      <c:valAx>
        <c:axId val="1333987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99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vs </a:t>
            </a:r>
            <a:r>
              <a:rPr lang="en-IN"/>
              <a:t>Spending Score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Dataset'!$E$1</c:f>
              <c:strCache>
                <c:ptCount val="1"/>
                <c:pt idx="0">
                  <c:v>Spending Score (1-100)</c:v>
                </c:pt>
              </c:strCache>
            </c:strRef>
          </c:tx>
          <c:spPr>
            <a:ln w="19050" cap="rnd">
              <a:noFill/>
              <a:round/>
            </a:ln>
            <a:effectLst/>
          </c:spPr>
          <c:marker>
            <c:symbol val="circle"/>
            <c:size val="5"/>
            <c:spPr>
              <a:solidFill>
                <a:schemeClr val="accent1"/>
              </a:solidFill>
              <a:ln w="9525">
                <a:solidFill>
                  <a:schemeClr val="accent1"/>
                </a:solidFill>
              </a:ln>
              <a:effectLst/>
            </c:spPr>
          </c:marker>
          <c:xVal>
            <c:numRef>
              <c:f>'Raw Dataset'!$D$2:$D$201</c:f>
              <c:numCache>
                <c:formatCode>General</c:formatCode>
                <c:ptCount val="200"/>
                <c:pt idx="0">
                  <c:v>15</c:v>
                </c:pt>
                <c:pt idx="1">
                  <c:v>15</c:v>
                </c:pt>
                <c:pt idx="2">
                  <c:v>16</c:v>
                </c:pt>
                <c:pt idx="3">
                  <c:v>16</c:v>
                </c:pt>
                <c:pt idx="4">
                  <c:v>17</c:v>
                </c:pt>
                <c:pt idx="5">
                  <c:v>17</c:v>
                </c:pt>
                <c:pt idx="6">
                  <c:v>18</c:v>
                </c:pt>
                <c:pt idx="7">
                  <c:v>18</c:v>
                </c:pt>
                <c:pt idx="8">
                  <c:v>19</c:v>
                </c:pt>
                <c:pt idx="9">
                  <c:v>19</c:v>
                </c:pt>
                <c:pt idx="10">
                  <c:v>19</c:v>
                </c:pt>
                <c:pt idx="11">
                  <c:v>19</c:v>
                </c:pt>
                <c:pt idx="12">
                  <c:v>20</c:v>
                </c:pt>
                <c:pt idx="13">
                  <c:v>20</c:v>
                </c:pt>
                <c:pt idx="14">
                  <c:v>20</c:v>
                </c:pt>
                <c:pt idx="15">
                  <c:v>20</c:v>
                </c:pt>
                <c:pt idx="16">
                  <c:v>21</c:v>
                </c:pt>
                <c:pt idx="17">
                  <c:v>21</c:v>
                </c:pt>
                <c:pt idx="18">
                  <c:v>23</c:v>
                </c:pt>
                <c:pt idx="19">
                  <c:v>23</c:v>
                </c:pt>
                <c:pt idx="20">
                  <c:v>24</c:v>
                </c:pt>
                <c:pt idx="21">
                  <c:v>24</c:v>
                </c:pt>
                <c:pt idx="22">
                  <c:v>25</c:v>
                </c:pt>
                <c:pt idx="23">
                  <c:v>25</c:v>
                </c:pt>
                <c:pt idx="24">
                  <c:v>28</c:v>
                </c:pt>
                <c:pt idx="25">
                  <c:v>28</c:v>
                </c:pt>
                <c:pt idx="26">
                  <c:v>28</c:v>
                </c:pt>
                <c:pt idx="27">
                  <c:v>28</c:v>
                </c:pt>
                <c:pt idx="28">
                  <c:v>29</c:v>
                </c:pt>
                <c:pt idx="29">
                  <c:v>29</c:v>
                </c:pt>
                <c:pt idx="30">
                  <c:v>30</c:v>
                </c:pt>
                <c:pt idx="31">
                  <c:v>30</c:v>
                </c:pt>
                <c:pt idx="32">
                  <c:v>33</c:v>
                </c:pt>
                <c:pt idx="33">
                  <c:v>33</c:v>
                </c:pt>
                <c:pt idx="34">
                  <c:v>33</c:v>
                </c:pt>
                <c:pt idx="35">
                  <c:v>33</c:v>
                </c:pt>
                <c:pt idx="36">
                  <c:v>34</c:v>
                </c:pt>
                <c:pt idx="37">
                  <c:v>34</c:v>
                </c:pt>
                <c:pt idx="38">
                  <c:v>37</c:v>
                </c:pt>
                <c:pt idx="39">
                  <c:v>37</c:v>
                </c:pt>
                <c:pt idx="40">
                  <c:v>38</c:v>
                </c:pt>
                <c:pt idx="41">
                  <c:v>38</c:v>
                </c:pt>
                <c:pt idx="42">
                  <c:v>39</c:v>
                </c:pt>
                <c:pt idx="43">
                  <c:v>39</c:v>
                </c:pt>
                <c:pt idx="44">
                  <c:v>39</c:v>
                </c:pt>
                <c:pt idx="45">
                  <c:v>39</c:v>
                </c:pt>
                <c:pt idx="46">
                  <c:v>40</c:v>
                </c:pt>
                <c:pt idx="47">
                  <c:v>40</c:v>
                </c:pt>
                <c:pt idx="48">
                  <c:v>40</c:v>
                </c:pt>
                <c:pt idx="49">
                  <c:v>40</c:v>
                </c:pt>
                <c:pt idx="50">
                  <c:v>42</c:v>
                </c:pt>
                <c:pt idx="51">
                  <c:v>42</c:v>
                </c:pt>
                <c:pt idx="52">
                  <c:v>43</c:v>
                </c:pt>
                <c:pt idx="53">
                  <c:v>43</c:v>
                </c:pt>
                <c:pt idx="54">
                  <c:v>43</c:v>
                </c:pt>
                <c:pt idx="55">
                  <c:v>43</c:v>
                </c:pt>
                <c:pt idx="56">
                  <c:v>44</c:v>
                </c:pt>
                <c:pt idx="57">
                  <c:v>44</c:v>
                </c:pt>
                <c:pt idx="58">
                  <c:v>46</c:v>
                </c:pt>
                <c:pt idx="59">
                  <c:v>46</c:v>
                </c:pt>
                <c:pt idx="60">
                  <c:v>46</c:v>
                </c:pt>
                <c:pt idx="61">
                  <c:v>46</c:v>
                </c:pt>
                <c:pt idx="62">
                  <c:v>47</c:v>
                </c:pt>
                <c:pt idx="63">
                  <c:v>47</c:v>
                </c:pt>
                <c:pt idx="64">
                  <c:v>48</c:v>
                </c:pt>
                <c:pt idx="65">
                  <c:v>48</c:v>
                </c:pt>
                <c:pt idx="66">
                  <c:v>48</c:v>
                </c:pt>
                <c:pt idx="67">
                  <c:v>48</c:v>
                </c:pt>
                <c:pt idx="68">
                  <c:v>48</c:v>
                </c:pt>
                <c:pt idx="69">
                  <c:v>48</c:v>
                </c:pt>
                <c:pt idx="70">
                  <c:v>49</c:v>
                </c:pt>
                <c:pt idx="71">
                  <c:v>49</c:v>
                </c:pt>
                <c:pt idx="72">
                  <c:v>50</c:v>
                </c:pt>
                <c:pt idx="73">
                  <c:v>50</c:v>
                </c:pt>
                <c:pt idx="74">
                  <c:v>54</c:v>
                </c:pt>
                <c:pt idx="75">
                  <c:v>54</c:v>
                </c:pt>
                <c:pt idx="76">
                  <c:v>54</c:v>
                </c:pt>
                <c:pt idx="77">
                  <c:v>54</c:v>
                </c:pt>
                <c:pt idx="78">
                  <c:v>54</c:v>
                </c:pt>
                <c:pt idx="79">
                  <c:v>54</c:v>
                </c:pt>
                <c:pt idx="80">
                  <c:v>54</c:v>
                </c:pt>
                <c:pt idx="81">
                  <c:v>54</c:v>
                </c:pt>
                <c:pt idx="82">
                  <c:v>54</c:v>
                </c:pt>
                <c:pt idx="83">
                  <c:v>54</c:v>
                </c:pt>
                <c:pt idx="84">
                  <c:v>54</c:v>
                </c:pt>
                <c:pt idx="85">
                  <c:v>54</c:v>
                </c:pt>
                <c:pt idx="86">
                  <c:v>57</c:v>
                </c:pt>
                <c:pt idx="87">
                  <c:v>57</c:v>
                </c:pt>
                <c:pt idx="88">
                  <c:v>58</c:v>
                </c:pt>
                <c:pt idx="89">
                  <c:v>58</c:v>
                </c:pt>
                <c:pt idx="90">
                  <c:v>59</c:v>
                </c:pt>
                <c:pt idx="91">
                  <c:v>59</c:v>
                </c:pt>
                <c:pt idx="92">
                  <c:v>60</c:v>
                </c:pt>
                <c:pt idx="93">
                  <c:v>60</c:v>
                </c:pt>
                <c:pt idx="94">
                  <c:v>60</c:v>
                </c:pt>
                <c:pt idx="95">
                  <c:v>60</c:v>
                </c:pt>
                <c:pt idx="96">
                  <c:v>60</c:v>
                </c:pt>
                <c:pt idx="97">
                  <c:v>60</c:v>
                </c:pt>
                <c:pt idx="98">
                  <c:v>61</c:v>
                </c:pt>
                <c:pt idx="99">
                  <c:v>61</c:v>
                </c:pt>
                <c:pt idx="100">
                  <c:v>62</c:v>
                </c:pt>
                <c:pt idx="101">
                  <c:v>62</c:v>
                </c:pt>
                <c:pt idx="102">
                  <c:v>62</c:v>
                </c:pt>
                <c:pt idx="103">
                  <c:v>62</c:v>
                </c:pt>
                <c:pt idx="104">
                  <c:v>62</c:v>
                </c:pt>
                <c:pt idx="105">
                  <c:v>62</c:v>
                </c:pt>
                <c:pt idx="106">
                  <c:v>63</c:v>
                </c:pt>
                <c:pt idx="107">
                  <c:v>63</c:v>
                </c:pt>
                <c:pt idx="108">
                  <c:v>63</c:v>
                </c:pt>
                <c:pt idx="109">
                  <c:v>63</c:v>
                </c:pt>
                <c:pt idx="110">
                  <c:v>63</c:v>
                </c:pt>
                <c:pt idx="111">
                  <c:v>63</c:v>
                </c:pt>
                <c:pt idx="112">
                  <c:v>64</c:v>
                </c:pt>
                <c:pt idx="113">
                  <c:v>64</c:v>
                </c:pt>
                <c:pt idx="114">
                  <c:v>65</c:v>
                </c:pt>
                <c:pt idx="115">
                  <c:v>65</c:v>
                </c:pt>
                <c:pt idx="116">
                  <c:v>65</c:v>
                </c:pt>
                <c:pt idx="117">
                  <c:v>65</c:v>
                </c:pt>
                <c:pt idx="118">
                  <c:v>67</c:v>
                </c:pt>
                <c:pt idx="119">
                  <c:v>67</c:v>
                </c:pt>
                <c:pt idx="120">
                  <c:v>67</c:v>
                </c:pt>
                <c:pt idx="121">
                  <c:v>67</c:v>
                </c:pt>
                <c:pt idx="122">
                  <c:v>69</c:v>
                </c:pt>
                <c:pt idx="123">
                  <c:v>69</c:v>
                </c:pt>
                <c:pt idx="124">
                  <c:v>70</c:v>
                </c:pt>
                <c:pt idx="125">
                  <c:v>70</c:v>
                </c:pt>
                <c:pt idx="126">
                  <c:v>71</c:v>
                </c:pt>
                <c:pt idx="127">
                  <c:v>71</c:v>
                </c:pt>
                <c:pt idx="128">
                  <c:v>71</c:v>
                </c:pt>
                <c:pt idx="129">
                  <c:v>71</c:v>
                </c:pt>
                <c:pt idx="130">
                  <c:v>71</c:v>
                </c:pt>
                <c:pt idx="131">
                  <c:v>71</c:v>
                </c:pt>
                <c:pt idx="132">
                  <c:v>72</c:v>
                </c:pt>
                <c:pt idx="133">
                  <c:v>72</c:v>
                </c:pt>
                <c:pt idx="134">
                  <c:v>73</c:v>
                </c:pt>
                <c:pt idx="135">
                  <c:v>73</c:v>
                </c:pt>
                <c:pt idx="136">
                  <c:v>73</c:v>
                </c:pt>
                <c:pt idx="137">
                  <c:v>73</c:v>
                </c:pt>
                <c:pt idx="138">
                  <c:v>74</c:v>
                </c:pt>
                <c:pt idx="139">
                  <c:v>74</c:v>
                </c:pt>
                <c:pt idx="140">
                  <c:v>75</c:v>
                </c:pt>
                <c:pt idx="141">
                  <c:v>75</c:v>
                </c:pt>
                <c:pt idx="142">
                  <c:v>76</c:v>
                </c:pt>
                <c:pt idx="143">
                  <c:v>76</c:v>
                </c:pt>
                <c:pt idx="144">
                  <c:v>77</c:v>
                </c:pt>
                <c:pt idx="145">
                  <c:v>77</c:v>
                </c:pt>
                <c:pt idx="146">
                  <c:v>77</c:v>
                </c:pt>
                <c:pt idx="147">
                  <c:v>77</c:v>
                </c:pt>
                <c:pt idx="148">
                  <c:v>78</c:v>
                </c:pt>
                <c:pt idx="149">
                  <c:v>78</c:v>
                </c:pt>
                <c:pt idx="150">
                  <c:v>78</c:v>
                </c:pt>
                <c:pt idx="151">
                  <c:v>78</c:v>
                </c:pt>
                <c:pt idx="152">
                  <c:v>78</c:v>
                </c:pt>
                <c:pt idx="153">
                  <c:v>78</c:v>
                </c:pt>
                <c:pt idx="154">
                  <c:v>78</c:v>
                </c:pt>
                <c:pt idx="155">
                  <c:v>78</c:v>
                </c:pt>
                <c:pt idx="156">
                  <c:v>78</c:v>
                </c:pt>
                <c:pt idx="157">
                  <c:v>78</c:v>
                </c:pt>
                <c:pt idx="158">
                  <c:v>78</c:v>
                </c:pt>
                <c:pt idx="159">
                  <c:v>78</c:v>
                </c:pt>
                <c:pt idx="160">
                  <c:v>79</c:v>
                </c:pt>
                <c:pt idx="161">
                  <c:v>79</c:v>
                </c:pt>
                <c:pt idx="162">
                  <c:v>81</c:v>
                </c:pt>
                <c:pt idx="163">
                  <c:v>81</c:v>
                </c:pt>
                <c:pt idx="164">
                  <c:v>85</c:v>
                </c:pt>
                <c:pt idx="165">
                  <c:v>85</c:v>
                </c:pt>
                <c:pt idx="166">
                  <c:v>86</c:v>
                </c:pt>
                <c:pt idx="167">
                  <c:v>86</c:v>
                </c:pt>
                <c:pt idx="168">
                  <c:v>87</c:v>
                </c:pt>
                <c:pt idx="169">
                  <c:v>87</c:v>
                </c:pt>
                <c:pt idx="170">
                  <c:v>87</c:v>
                </c:pt>
                <c:pt idx="171">
                  <c:v>87</c:v>
                </c:pt>
                <c:pt idx="172">
                  <c:v>87</c:v>
                </c:pt>
                <c:pt idx="173">
                  <c:v>87</c:v>
                </c:pt>
                <c:pt idx="174">
                  <c:v>88</c:v>
                </c:pt>
                <c:pt idx="175">
                  <c:v>88</c:v>
                </c:pt>
                <c:pt idx="176">
                  <c:v>88</c:v>
                </c:pt>
                <c:pt idx="177">
                  <c:v>88</c:v>
                </c:pt>
                <c:pt idx="178">
                  <c:v>93</c:v>
                </c:pt>
                <c:pt idx="179">
                  <c:v>93</c:v>
                </c:pt>
                <c:pt idx="180">
                  <c:v>97</c:v>
                </c:pt>
                <c:pt idx="181">
                  <c:v>97</c:v>
                </c:pt>
                <c:pt idx="182">
                  <c:v>98</c:v>
                </c:pt>
                <c:pt idx="183">
                  <c:v>98</c:v>
                </c:pt>
                <c:pt idx="184">
                  <c:v>99</c:v>
                </c:pt>
                <c:pt idx="185">
                  <c:v>99</c:v>
                </c:pt>
                <c:pt idx="186">
                  <c:v>101</c:v>
                </c:pt>
                <c:pt idx="187">
                  <c:v>101</c:v>
                </c:pt>
                <c:pt idx="188">
                  <c:v>103</c:v>
                </c:pt>
                <c:pt idx="189">
                  <c:v>103</c:v>
                </c:pt>
                <c:pt idx="190">
                  <c:v>103</c:v>
                </c:pt>
                <c:pt idx="191">
                  <c:v>103</c:v>
                </c:pt>
                <c:pt idx="192">
                  <c:v>113</c:v>
                </c:pt>
                <c:pt idx="193">
                  <c:v>113</c:v>
                </c:pt>
                <c:pt idx="194">
                  <c:v>120</c:v>
                </c:pt>
                <c:pt idx="195">
                  <c:v>120</c:v>
                </c:pt>
                <c:pt idx="196">
                  <c:v>126</c:v>
                </c:pt>
                <c:pt idx="197">
                  <c:v>126</c:v>
                </c:pt>
                <c:pt idx="198">
                  <c:v>137</c:v>
                </c:pt>
                <c:pt idx="199">
                  <c:v>137</c:v>
                </c:pt>
              </c:numCache>
            </c:numRef>
          </c:xVal>
          <c:yVal>
            <c:numRef>
              <c:f>'Raw Dataset'!$E$2:$E$201</c:f>
              <c:numCache>
                <c:formatCode>General</c:formatCode>
                <c:ptCount val="200"/>
                <c:pt idx="0">
                  <c:v>39</c:v>
                </c:pt>
                <c:pt idx="1">
                  <c:v>81</c:v>
                </c:pt>
                <c:pt idx="2">
                  <c:v>6</c:v>
                </c:pt>
                <c:pt idx="3">
                  <c:v>77</c:v>
                </c:pt>
                <c:pt idx="4">
                  <c:v>40</c:v>
                </c:pt>
                <c:pt idx="5">
                  <c:v>76</c:v>
                </c:pt>
                <c:pt idx="6">
                  <c:v>6</c:v>
                </c:pt>
                <c:pt idx="7">
                  <c:v>94</c:v>
                </c:pt>
                <c:pt idx="8">
                  <c:v>3</c:v>
                </c:pt>
                <c:pt idx="9">
                  <c:v>72</c:v>
                </c:pt>
                <c:pt idx="10">
                  <c:v>14</c:v>
                </c:pt>
                <c:pt idx="11">
                  <c:v>99</c:v>
                </c:pt>
                <c:pt idx="12">
                  <c:v>15</c:v>
                </c:pt>
                <c:pt idx="13">
                  <c:v>77</c:v>
                </c:pt>
                <c:pt idx="14">
                  <c:v>13</c:v>
                </c:pt>
                <c:pt idx="15">
                  <c:v>79</c:v>
                </c:pt>
                <c:pt idx="16">
                  <c:v>35</c:v>
                </c:pt>
                <c:pt idx="17">
                  <c:v>66</c:v>
                </c:pt>
                <c:pt idx="18">
                  <c:v>29</c:v>
                </c:pt>
                <c:pt idx="19">
                  <c:v>98</c:v>
                </c:pt>
                <c:pt idx="20">
                  <c:v>35</c:v>
                </c:pt>
                <c:pt idx="21">
                  <c:v>73</c:v>
                </c:pt>
                <c:pt idx="22">
                  <c:v>5</c:v>
                </c:pt>
                <c:pt idx="23">
                  <c:v>73</c:v>
                </c:pt>
                <c:pt idx="24">
                  <c:v>14</c:v>
                </c:pt>
                <c:pt idx="25">
                  <c:v>82</c:v>
                </c:pt>
                <c:pt idx="26">
                  <c:v>32</c:v>
                </c:pt>
                <c:pt idx="27">
                  <c:v>61</c:v>
                </c:pt>
                <c:pt idx="28">
                  <c:v>31</c:v>
                </c:pt>
                <c:pt idx="29">
                  <c:v>87</c:v>
                </c:pt>
                <c:pt idx="30">
                  <c:v>4</c:v>
                </c:pt>
                <c:pt idx="31">
                  <c:v>73</c:v>
                </c:pt>
                <c:pt idx="32">
                  <c:v>4</c:v>
                </c:pt>
                <c:pt idx="33">
                  <c:v>92</c:v>
                </c:pt>
                <c:pt idx="34">
                  <c:v>14</c:v>
                </c:pt>
                <c:pt idx="35">
                  <c:v>81</c:v>
                </c:pt>
                <c:pt idx="36">
                  <c:v>17</c:v>
                </c:pt>
                <c:pt idx="37">
                  <c:v>73</c:v>
                </c:pt>
                <c:pt idx="38">
                  <c:v>26</c:v>
                </c:pt>
                <c:pt idx="39">
                  <c:v>75</c:v>
                </c:pt>
                <c:pt idx="40">
                  <c:v>35</c:v>
                </c:pt>
                <c:pt idx="41">
                  <c:v>92</c:v>
                </c:pt>
                <c:pt idx="42">
                  <c:v>36</c:v>
                </c:pt>
                <c:pt idx="43">
                  <c:v>61</c:v>
                </c:pt>
                <c:pt idx="44">
                  <c:v>28</c:v>
                </c:pt>
                <c:pt idx="45">
                  <c:v>65</c:v>
                </c:pt>
                <c:pt idx="46">
                  <c:v>55</c:v>
                </c:pt>
                <c:pt idx="47">
                  <c:v>47</c:v>
                </c:pt>
                <c:pt idx="48">
                  <c:v>42</c:v>
                </c:pt>
                <c:pt idx="49">
                  <c:v>42</c:v>
                </c:pt>
                <c:pt idx="50">
                  <c:v>52</c:v>
                </c:pt>
                <c:pt idx="51">
                  <c:v>60</c:v>
                </c:pt>
                <c:pt idx="52">
                  <c:v>54</c:v>
                </c:pt>
                <c:pt idx="53">
                  <c:v>60</c:v>
                </c:pt>
                <c:pt idx="54">
                  <c:v>45</c:v>
                </c:pt>
                <c:pt idx="55">
                  <c:v>41</c:v>
                </c:pt>
                <c:pt idx="56">
                  <c:v>50</c:v>
                </c:pt>
                <c:pt idx="57">
                  <c:v>46</c:v>
                </c:pt>
                <c:pt idx="58">
                  <c:v>51</c:v>
                </c:pt>
                <c:pt idx="59">
                  <c:v>46</c:v>
                </c:pt>
                <c:pt idx="60">
                  <c:v>56</c:v>
                </c:pt>
                <c:pt idx="61">
                  <c:v>55</c:v>
                </c:pt>
                <c:pt idx="62">
                  <c:v>52</c:v>
                </c:pt>
                <c:pt idx="63">
                  <c:v>59</c:v>
                </c:pt>
                <c:pt idx="64">
                  <c:v>51</c:v>
                </c:pt>
                <c:pt idx="65">
                  <c:v>59</c:v>
                </c:pt>
                <c:pt idx="66">
                  <c:v>50</c:v>
                </c:pt>
                <c:pt idx="67">
                  <c:v>48</c:v>
                </c:pt>
                <c:pt idx="68">
                  <c:v>59</c:v>
                </c:pt>
                <c:pt idx="69">
                  <c:v>47</c:v>
                </c:pt>
                <c:pt idx="70">
                  <c:v>55</c:v>
                </c:pt>
                <c:pt idx="71">
                  <c:v>42</c:v>
                </c:pt>
                <c:pt idx="72">
                  <c:v>49</c:v>
                </c:pt>
                <c:pt idx="73">
                  <c:v>56</c:v>
                </c:pt>
                <c:pt idx="74">
                  <c:v>47</c:v>
                </c:pt>
                <c:pt idx="75">
                  <c:v>54</c:v>
                </c:pt>
                <c:pt idx="76">
                  <c:v>53</c:v>
                </c:pt>
                <c:pt idx="77">
                  <c:v>48</c:v>
                </c:pt>
                <c:pt idx="78">
                  <c:v>52</c:v>
                </c:pt>
                <c:pt idx="79">
                  <c:v>42</c:v>
                </c:pt>
                <c:pt idx="80">
                  <c:v>51</c:v>
                </c:pt>
                <c:pt idx="81">
                  <c:v>55</c:v>
                </c:pt>
                <c:pt idx="82">
                  <c:v>41</c:v>
                </c:pt>
                <c:pt idx="83">
                  <c:v>44</c:v>
                </c:pt>
                <c:pt idx="84">
                  <c:v>57</c:v>
                </c:pt>
                <c:pt idx="85">
                  <c:v>46</c:v>
                </c:pt>
                <c:pt idx="86">
                  <c:v>58</c:v>
                </c:pt>
                <c:pt idx="87">
                  <c:v>55</c:v>
                </c:pt>
                <c:pt idx="88">
                  <c:v>60</c:v>
                </c:pt>
                <c:pt idx="89">
                  <c:v>46</c:v>
                </c:pt>
                <c:pt idx="90">
                  <c:v>55</c:v>
                </c:pt>
                <c:pt idx="91">
                  <c:v>41</c:v>
                </c:pt>
                <c:pt idx="92">
                  <c:v>49</c:v>
                </c:pt>
                <c:pt idx="93">
                  <c:v>40</c:v>
                </c:pt>
                <c:pt idx="94">
                  <c:v>42</c:v>
                </c:pt>
                <c:pt idx="95">
                  <c:v>52</c:v>
                </c:pt>
                <c:pt idx="96">
                  <c:v>47</c:v>
                </c:pt>
                <c:pt idx="97">
                  <c:v>50</c:v>
                </c:pt>
                <c:pt idx="98">
                  <c:v>42</c:v>
                </c:pt>
                <c:pt idx="99">
                  <c:v>49</c:v>
                </c:pt>
                <c:pt idx="100">
                  <c:v>41</c:v>
                </c:pt>
                <c:pt idx="101">
                  <c:v>48</c:v>
                </c:pt>
                <c:pt idx="102">
                  <c:v>59</c:v>
                </c:pt>
                <c:pt idx="103">
                  <c:v>55</c:v>
                </c:pt>
                <c:pt idx="104">
                  <c:v>56</c:v>
                </c:pt>
                <c:pt idx="105">
                  <c:v>42</c:v>
                </c:pt>
                <c:pt idx="106">
                  <c:v>50</c:v>
                </c:pt>
                <c:pt idx="107">
                  <c:v>46</c:v>
                </c:pt>
                <c:pt idx="108">
                  <c:v>43</c:v>
                </c:pt>
                <c:pt idx="109">
                  <c:v>48</c:v>
                </c:pt>
                <c:pt idx="110">
                  <c:v>52</c:v>
                </c:pt>
                <c:pt idx="111">
                  <c:v>54</c:v>
                </c:pt>
                <c:pt idx="112">
                  <c:v>42</c:v>
                </c:pt>
                <c:pt idx="113">
                  <c:v>46</c:v>
                </c:pt>
                <c:pt idx="114">
                  <c:v>48</c:v>
                </c:pt>
                <c:pt idx="115">
                  <c:v>50</c:v>
                </c:pt>
                <c:pt idx="116">
                  <c:v>43</c:v>
                </c:pt>
                <c:pt idx="117">
                  <c:v>59</c:v>
                </c:pt>
                <c:pt idx="118">
                  <c:v>43</c:v>
                </c:pt>
                <c:pt idx="119">
                  <c:v>57</c:v>
                </c:pt>
                <c:pt idx="120">
                  <c:v>56</c:v>
                </c:pt>
                <c:pt idx="121">
                  <c:v>40</c:v>
                </c:pt>
                <c:pt idx="122">
                  <c:v>58</c:v>
                </c:pt>
                <c:pt idx="123">
                  <c:v>91</c:v>
                </c:pt>
                <c:pt idx="124">
                  <c:v>29</c:v>
                </c:pt>
                <c:pt idx="125">
                  <c:v>77</c:v>
                </c:pt>
                <c:pt idx="126">
                  <c:v>35</c:v>
                </c:pt>
                <c:pt idx="127">
                  <c:v>95</c:v>
                </c:pt>
                <c:pt idx="128">
                  <c:v>11</c:v>
                </c:pt>
                <c:pt idx="129">
                  <c:v>75</c:v>
                </c:pt>
                <c:pt idx="130">
                  <c:v>9</c:v>
                </c:pt>
                <c:pt idx="131">
                  <c:v>75</c:v>
                </c:pt>
                <c:pt idx="132">
                  <c:v>34</c:v>
                </c:pt>
                <c:pt idx="133">
                  <c:v>71</c:v>
                </c:pt>
                <c:pt idx="134">
                  <c:v>5</c:v>
                </c:pt>
                <c:pt idx="135">
                  <c:v>88</c:v>
                </c:pt>
                <c:pt idx="136">
                  <c:v>7</c:v>
                </c:pt>
                <c:pt idx="137">
                  <c:v>73</c:v>
                </c:pt>
                <c:pt idx="138">
                  <c:v>10</c:v>
                </c:pt>
                <c:pt idx="139">
                  <c:v>72</c:v>
                </c:pt>
                <c:pt idx="140">
                  <c:v>5</c:v>
                </c:pt>
                <c:pt idx="141">
                  <c:v>93</c:v>
                </c:pt>
                <c:pt idx="142">
                  <c:v>40</c:v>
                </c:pt>
                <c:pt idx="143">
                  <c:v>87</c:v>
                </c:pt>
                <c:pt idx="144">
                  <c:v>12</c:v>
                </c:pt>
                <c:pt idx="145">
                  <c:v>97</c:v>
                </c:pt>
                <c:pt idx="146">
                  <c:v>36</c:v>
                </c:pt>
                <c:pt idx="147">
                  <c:v>74</c:v>
                </c:pt>
                <c:pt idx="148">
                  <c:v>22</c:v>
                </c:pt>
                <c:pt idx="149">
                  <c:v>90</c:v>
                </c:pt>
                <c:pt idx="150">
                  <c:v>17</c:v>
                </c:pt>
                <c:pt idx="151">
                  <c:v>88</c:v>
                </c:pt>
                <c:pt idx="152">
                  <c:v>20</c:v>
                </c:pt>
                <c:pt idx="153">
                  <c:v>76</c:v>
                </c:pt>
                <c:pt idx="154">
                  <c:v>16</c:v>
                </c:pt>
                <c:pt idx="155">
                  <c:v>89</c:v>
                </c:pt>
                <c:pt idx="156">
                  <c:v>1</c:v>
                </c:pt>
                <c:pt idx="157">
                  <c:v>78</c:v>
                </c:pt>
                <c:pt idx="158">
                  <c:v>1</c:v>
                </c:pt>
                <c:pt idx="159">
                  <c:v>73</c:v>
                </c:pt>
                <c:pt idx="160">
                  <c:v>35</c:v>
                </c:pt>
                <c:pt idx="161">
                  <c:v>83</c:v>
                </c:pt>
                <c:pt idx="162">
                  <c:v>5</c:v>
                </c:pt>
                <c:pt idx="163">
                  <c:v>93</c:v>
                </c:pt>
                <c:pt idx="164">
                  <c:v>26</c:v>
                </c:pt>
                <c:pt idx="165">
                  <c:v>75</c:v>
                </c:pt>
                <c:pt idx="166">
                  <c:v>20</c:v>
                </c:pt>
                <c:pt idx="167">
                  <c:v>95</c:v>
                </c:pt>
                <c:pt idx="168">
                  <c:v>27</c:v>
                </c:pt>
                <c:pt idx="169">
                  <c:v>63</c:v>
                </c:pt>
                <c:pt idx="170">
                  <c:v>13</c:v>
                </c:pt>
                <c:pt idx="171">
                  <c:v>75</c:v>
                </c:pt>
                <c:pt idx="172">
                  <c:v>10</c:v>
                </c:pt>
                <c:pt idx="173">
                  <c:v>92</c:v>
                </c:pt>
                <c:pt idx="174">
                  <c:v>13</c:v>
                </c:pt>
                <c:pt idx="175">
                  <c:v>86</c:v>
                </c:pt>
                <c:pt idx="176">
                  <c:v>15</c:v>
                </c:pt>
                <c:pt idx="177">
                  <c:v>69</c:v>
                </c:pt>
                <c:pt idx="178">
                  <c:v>14</c:v>
                </c:pt>
                <c:pt idx="179">
                  <c:v>90</c:v>
                </c:pt>
                <c:pt idx="180">
                  <c:v>32</c:v>
                </c:pt>
                <c:pt idx="181">
                  <c:v>86</c:v>
                </c:pt>
                <c:pt idx="182">
                  <c:v>15</c:v>
                </c:pt>
                <c:pt idx="183">
                  <c:v>88</c:v>
                </c:pt>
                <c:pt idx="184">
                  <c:v>39</c:v>
                </c:pt>
                <c:pt idx="185">
                  <c:v>97</c:v>
                </c:pt>
                <c:pt idx="186">
                  <c:v>24</c:v>
                </c:pt>
                <c:pt idx="187">
                  <c:v>68</c:v>
                </c:pt>
                <c:pt idx="188">
                  <c:v>17</c:v>
                </c:pt>
                <c:pt idx="189">
                  <c:v>85</c:v>
                </c:pt>
                <c:pt idx="190">
                  <c:v>23</c:v>
                </c:pt>
                <c:pt idx="191">
                  <c:v>69</c:v>
                </c:pt>
                <c:pt idx="192">
                  <c:v>8</c:v>
                </c:pt>
                <c:pt idx="193">
                  <c:v>91</c:v>
                </c:pt>
                <c:pt idx="194">
                  <c:v>16</c:v>
                </c:pt>
                <c:pt idx="195">
                  <c:v>79</c:v>
                </c:pt>
                <c:pt idx="196">
                  <c:v>28</c:v>
                </c:pt>
                <c:pt idx="197">
                  <c:v>74</c:v>
                </c:pt>
                <c:pt idx="198">
                  <c:v>18</c:v>
                </c:pt>
                <c:pt idx="199">
                  <c:v>83</c:v>
                </c:pt>
              </c:numCache>
            </c:numRef>
          </c:yVal>
          <c:smooth val="0"/>
          <c:extLst>
            <c:ext xmlns:c16="http://schemas.microsoft.com/office/drawing/2014/chart" uri="{C3380CC4-5D6E-409C-BE32-E72D297353CC}">
              <c16:uniqueId val="{00000000-1B1C-4934-B349-A39BBDBBF123}"/>
            </c:ext>
          </c:extLst>
        </c:ser>
        <c:dLbls>
          <c:showLegendKey val="0"/>
          <c:showVal val="0"/>
          <c:showCatName val="0"/>
          <c:showSerName val="0"/>
          <c:showPercent val="0"/>
          <c:showBubbleSize val="0"/>
        </c:dLbls>
        <c:axId val="1644307408"/>
        <c:axId val="1644315088"/>
      </c:scatterChart>
      <c:valAx>
        <c:axId val="164430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15088"/>
        <c:crosses val="autoZero"/>
        <c:crossBetween val="midCat"/>
      </c:valAx>
      <c:valAx>
        <c:axId val="164431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7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[Excel_Customer_Segmentation.xlsx]Pivot Table &amp; 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Charts'!$B$34</c:f>
              <c:strCache>
                <c:ptCount val="1"/>
                <c:pt idx="0">
                  <c:v>Total</c:v>
                </c:pt>
              </c:strCache>
            </c:strRef>
          </c:tx>
          <c:spPr>
            <a:solidFill>
              <a:schemeClr val="accent1"/>
            </a:solidFill>
            <a:ln>
              <a:noFill/>
            </a:ln>
            <a:effectLst/>
          </c:spPr>
          <c:invertIfNegative val="0"/>
          <c:cat>
            <c:strRef>
              <c:f>'Pivot Table &amp; Charts'!$A$35:$A$40</c:f>
              <c:strCache>
                <c:ptCount val="5"/>
                <c:pt idx="0">
                  <c:v>18-25</c:v>
                </c:pt>
                <c:pt idx="1">
                  <c:v>26-35</c:v>
                </c:pt>
                <c:pt idx="2">
                  <c:v>36-45</c:v>
                </c:pt>
                <c:pt idx="3">
                  <c:v>46-55</c:v>
                </c:pt>
                <c:pt idx="4">
                  <c:v>56+</c:v>
                </c:pt>
              </c:strCache>
            </c:strRef>
          </c:cat>
          <c:val>
            <c:numRef>
              <c:f>'Pivot Table &amp; Charts'!$B$35:$B$40</c:f>
              <c:numCache>
                <c:formatCode>0.00</c:formatCode>
                <c:ptCount val="5"/>
                <c:pt idx="0">
                  <c:v>54.94736842105263</c:v>
                </c:pt>
                <c:pt idx="1">
                  <c:v>64.45</c:v>
                </c:pt>
                <c:pt idx="2">
                  <c:v>44.833333333333336</c:v>
                </c:pt>
                <c:pt idx="3">
                  <c:v>36.702702702702702</c:v>
                </c:pt>
                <c:pt idx="4">
                  <c:v>38.379310344827587</c:v>
                </c:pt>
              </c:numCache>
            </c:numRef>
          </c:val>
          <c:extLst>
            <c:ext xmlns:c16="http://schemas.microsoft.com/office/drawing/2014/chart" uri="{C3380CC4-5D6E-409C-BE32-E72D297353CC}">
              <c16:uniqueId val="{00000000-9BA5-47AC-BD0A-88B7FB6F4933}"/>
            </c:ext>
          </c:extLst>
        </c:ser>
        <c:dLbls>
          <c:showLegendKey val="0"/>
          <c:showVal val="0"/>
          <c:showCatName val="0"/>
          <c:showSerName val="0"/>
          <c:showPercent val="0"/>
          <c:showBubbleSize val="0"/>
        </c:dLbls>
        <c:gapWidth val="182"/>
        <c:axId val="1644329968"/>
        <c:axId val="1644330448"/>
      </c:barChart>
      <c:catAx>
        <c:axId val="164432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30448"/>
        <c:crosses val="autoZero"/>
        <c:auto val="1"/>
        <c:lblAlgn val="ctr"/>
        <c:lblOffset val="100"/>
        <c:noMultiLvlLbl val="0"/>
      </c:catAx>
      <c:valAx>
        <c:axId val="1644330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2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347159</xdr:colOff>
      <xdr:row>14</xdr:row>
      <xdr:rowOff>17582</xdr:rowOff>
    </xdr:from>
    <xdr:to>
      <xdr:col>9</xdr:col>
      <xdr:colOff>0</xdr:colOff>
      <xdr:row>29</xdr:row>
      <xdr:rowOff>55218</xdr:rowOff>
    </xdr:to>
    <xdr:graphicFrame macro="">
      <xdr:nvGraphicFramePr>
        <xdr:cNvPr id="4" name="Chart 3">
          <a:extLst>
            <a:ext uri="{FF2B5EF4-FFF2-40B4-BE49-F238E27FC236}">
              <a16:creationId xmlns:a16="http://schemas.microsoft.com/office/drawing/2014/main" id="{D85F0D9B-CB6F-4EA9-89BF-3F118A8C9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273731</xdr:colOff>
      <xdr:row>13</xdr:row>
      <xdr:rowOff>176180</xdr:rowOff>
    </xdr:from>
    <xdr:to>
      <xdr:col>16</xdr:col>
      <xdr:colOff>208787</xdr:colOff>
      <xdr:row>29</xdr:row>
      <xdr:rowOff>48980</xdr:rowOff>
    </xdr:to>
    <xdr:graphicFrame macro="">
      <xdr:nvGraphicFramePr>
        <xdr:cNvPr id="5" name="Chart 4">
          <a:extLst>
            <a:ext uri="{FF2B5EF4-FFF2-40B4-BE49-F238E27FC236}">
              <a16:creationId xmlns:a16="http://schemas.microsoft.com/office/drawing/2014/main" id="{998D4530-57DB-441D-8CD0-766C71E22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470193</xdr:colOff>
      <xdr:row>13</xdr:row>
      <xdr:rowOff>181262</xdr:rowOff>
    </xdr:from>
    <xdr:to>
      <xdr:col>21</xdr:col>
      <xdr:colOff>84667</xdr:colOff>
      <xdr:row>29</xdr:row>
      <xdr:rowOff>75876</xdr:rowOff>
    </xdr:to>
    <xdr:graphicFrame macro="">
      <xdr:nvGraphicFramePr>
        <xdr:cNvPr id="6" name="Chart 5">
          <a:extLst>
            <a:ext uri="{FF2B5EF4-FFF2-40B4-BE49-F238E27FC236}">
              <a16:creationId xmlns:a16="http://schemas.microsoft.com/office/drawing/2014/main" id="{E08E2DE0-C51C-49EF-ADF3-37233FB3B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323272</xdr:colOff>
      <xdr:row>30</xdr:row>
      <xdr:rowOff>7696</xdr:rowOff>
    </xdr:from>
    <xdr:to>
      <xdr:col>10</xdr:col>
      <xdr:colOff>415182</xdr:colOff>
      <xdr:row>44</xdr:row>
      <xdr:rowOff>176937</xdr:rowOff>
    </xdr:to>
    <xdr:graphicFrame macro="">
      <xdr:nvGraphicFramePr>
        <xdr:cNvPr id="7" name="Chart 6">
          <a:extLst>
            <a:ext uri="{FF2B5EF4-FFF2-40B4-BE49-F238E27FC236}">
              <a16:creationId xmlns:a16="http://schemas.microsoft.com/office/drawing/2014/main" id="{729C8FA3-7649-46EF-BFF0-975D73432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332430</xdr:colOff>
      <xdr:row>4</xdr:row>
      <xdr:rowOff>70721</xdr:rowOff>
    </xdr:from>
    <xdr:to>
      <xdr:col>5</xdr:col>
      <xdr:colOff>508830</xdr:colOff>
      <xdr:row>13</xdr:row>
      <xdr:rowOff>87874</xdr:rowOff>
    </xdr:to>
    <xdr:sp macro="" textlink="">
      <xdr:nvSpPr>
        <xdr:cNvPr id="11" name="Rectangle: Rounded Corners 10">
          <a:extLst>
            <a:ext uri="{FF2B5EF4-FFF2-40B4-BE49-F238E27FC236}">
              <a16:creationId xmlns:a16="http://schemas.microsoft.com/office/drawing/2014/main" id="{E3F35207-307A-9752-4059-84038C4108BA}"/>
            </a:ext>
          </a:extLst>
        </xdr:cNvPr>
        <xdr:cNvSpPr/>
      </xdr:nvSpPr>
      <xdr:spPr>
        <a:xfrm>
          <a:off x="2154604" y="832721"/>
          <a:ext cx="1998574" cy="1706805"/>
        </a:xfrm>
        <a:prstGeom prst="roundRect">
          <a:avLst/>
        </a:prstGeom>
        <a:solidFill>
          <a:schemeClr val="bg2">
            <a:lumMod val="90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High Value Customer</a:t>
          </a:r>
        </a:p>
        <a:p>
          <a:pPr algn="ctr"/>
          <a:endParaRPr lang="en-IN" sz="1400"/>
        </a:p>
        <a:p>
          <a:pPr algn="ctr"/>
          <a:r>
            <a:rPr lang="en-IN" sz="3600"/>
            <a:t>34</a:t>
          </a:r>
        </a:p>
        <a:p>
          <a:pPr algn="ctr"/>
          <a:r>
            <a:rPr lang="en-IN" sz="1400"/>
            <a:t>17%</a:t>
          </a:r>
        </a:p>
      </xdr:txBody>
    </xdr:sp>
    <xdr:clientData/>
  </xdr:twoCellAnchor>
  <xdr:twoCellAnchor>
    <xdr:from>
      <xdr:col>10</xdr:col>
      <xdr:colOff>489256</xdr:colOff>
      <xdr:row>30</xdr:row>
      <xdr:rowOff>10231</xdr:rowOff>
    </xdr:from>
    <xdr:to>
      <xdr:col>19</xdr:col>
      <xdr:colOff>24608</xdr:colOff>
      <xdr:row>45</xdr:row>
      <xdr:rowOff>99878</xdr:rowOff>
    </xdr:to>
    <xdr:graphicFrame macro="">
      <xdr:nvGraphicFramePr>
        <xdr:cNvPr id="16" name="Chart 15">
          <a:extLst>
            <a:ext uri="{FF2B5EF4-FFF2-40B4-BE49-F238E27FC236}">
              <a16:creationId xmlns:a16="http://schemas.microsoft.com/office/drawing/2014/main" id="{49D9DC63-7875-471D-8570-383209457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95318</xdr:colOff>
      <xdr:row>4</xdr:row>
      <xdr:rowOff>81765</xdr:rowOff>
    </xdr:from>
    <xdr:to>
      <xdr:col>9</xdr:col>
      <xdr:colOff>269509</xdr:colOff>
      <xdr:row>13</xdr:row>
      <xdr:rowOff>98918</xdr:rowOff>
    </xdr:to>
    <xdr:sp macro="" textlink="">
      <xdr:nvSpPr>
        <xdr:cNvPr id="24" name="Rectangle: Rounded Corners 23">
          <a:extLst>
            <a:ext uri="{FF2B5EF4-FFF2-40B4-BE49-F238E27FC236}">
              <a16:creationId xmlns:a16="http://schemas.microsoft.com/office/drawing/2014/main" id="{566C1DD0-0FCE-416B-9CB5-7AC6EFEF4DC0}"/>
            </a:ext>
          </a:extLst>
        </xdr:cNvPr>
        <xdr:cNvSpPr/>
      </xdr:nvSpPr>
      <xdr:spPr>
        <a:xfrm>
          <a:off x="4347057" y="843765"/>
          <a:ext cx="1996365" cy="1706805"/>
        </a:xfrm>
        <a:prstGeom prst="roundRect">
          <a:avLst/>
        </a:prstGeom>
        <a:solidFill>
          <a:schemeClr val="bg2">
            <a:lumMod val="90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Impulsive</a:t>
          </a:r>
          <a:r>
            <a:rPr lang="en-IN" sz="1400" baseline="0"/>
            <a:t> Customer</a:t>
          </a:r>
          <a:endParaRPr lang="en-IN" sz="1400"/>
        </a:p>
        <a:p>
          <a:pPr algn="ctr"/>
          <a:endParaRPr lang="en-IN" sz="1400"/>
        </a:p>
        <a:p>
          <a:pPr algn="ctr"/>
          <a:r>
            <a:rPr lang="en-IN" sz="3600"/>
            <a:t>20</a:t>
          </a:r>
        </a:p>
        <a:p>
          <a:pPr algn="ctr"/>
          <a:r>
            <a:rPr lang="en-IN" sz="1400"/>
            <a:t>10%</a:t>
          </a:r>
        </a:p>
      </xdr:txBody>
    </xdr:sp>
    <xdr:clientData/>
  </xdr:twoCellAnchor>
  <xdr:twoCellAnchor>
    <xdr:from>
      <xdr:col>9</xdr:col>
      <xdr:colOff>406095</xdr:colOff>
      <xdr:row>4</xdr:row>
      <xdr:rowOff>68643</xdr:rowOff>
    </xdr:from>
    <xdr:to>
      <xdr:col>12</xdr:col>
      <xdr:colOff>582495</xdr:colOff>
      <xdr:row>13</xdr:row>
      <xdr:rowOff>85796</xdr:rowOff>
    </xdr:to>
    <xdr:sp macro="" textlink="">
      <xdr:nvSpPr>
        <xdr:cNvPr id="25" name="Rectangle: Rounded Corners 24">
          <a:extLst>
            <a:ext uri="{FF2B5EF4-FFF2-40B4-BE49-F238E27FC236}">
              <a16:creationId xmlns:a16="http://schemas.microsoft.com/office/drawing/2014/main" id="{B3063B61-06A5-4245-ACC8-938644B1DEE3}"/>
            </a:ext>
          </a:extLst>
        </xdr:cNvPr>
        <xdr:cNvSpPr/>
      </xdr:nvSpPr>
      <xdr:spPr>
        <a:xfrm>
          <a:off x="6480008" y="830643"/>
          <a:ext cx="1998574" cy="1706805"/>
        </a:xfrm>
        <a:prstGeom prst="roundRect">
          <a:avLst/>
        </a:prstGeom>
        <a:solidFill>
          <a:schemeClr val="bg2">
            <a:lumMod val="90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Low Value Customer</a:t>
          </a:r>
        </a:p>
        <a:p>
          <a:pPr algn="ctr"/>
          <a:endParaRPr lang="en-IN" sz="1400"/>
        </a:p>
        <a:p>
          <a:pPr algn="ctr"/>
          <a:r>
            <a:rPr lang="en-IN" sz="3600"/>
            <a:t>104</a:t>
          </a:r>
        </a:p>
        <a:p>
          <a:pPr algn="ctr"/>
          <a:r>
            <a:rPr lang="en-IN" sz="1400"/>
            <a:t>52%</a:t>
          </a:r>
        </a:p>
      </xdr:txBody>
    </xdr:sp>
    <xdr:clientData/>
  </xdr:twoCellAnchor>
  <xdr:twoCellAnchor>
    <xdr:from>
      <xdr:col>13</xdr:col>
      <xdr:colOff>147418</xdr:colOff>
      <xdr:row>4</xdr:row>
      <xdr:rowOff>70722</xdr:rowOff>
    </xdr:from>
    <xdr:to>
      <xdr:col>16</xdr:col>
      <xdr:colOff>323818</xdr:colOff>
      <xdr:row>13</xdr:row>
      <xdr:rowOff>87875</xdr:rowOff>
    </xdr:to>
    <xdr:sp macro="" textlink="">
      <xdr:nvSpPr>
        <xdr:cNvPr id="26" name="Rectangle: Rounded Corners 25">
          <a:extLst>
            <a:ext uri="{FF2B5EF4-FFF2-40B4-BE49-F238E27FC236}">
              <a16:creationId xmlns:a16="http://schemas.microsoft.com/office/drawing/2014/main" id="{C1A6AC04-CB67-42CB-8F7E-A942F429F3F3}"/>
            </a:ext>
          </a:extLst>
        </xdr:cNvPr>
        <xdr:cNvSpPr/>
      </xdr:nvSpPr>
      <xdr:spPr>
        <a:xfrm>
          <a:off x="8672853" y="805828"/>
          <a:ext cx="2005200" cy="1630800"/>
        </a:xfrm>
        <a:prstGeom prst="roundRect">
          <a:avLst/>
        </a:prstGeom>
        <a:solidFill>
          <a:schemeClr val="bg2">
            <a:lumMod val="90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Potential Customer</a:t>
          </a:r>
        </a:p>
        <a:p>
          <a:pPr algn="ctr"/>
          <a:endParaRPr lang="en-IN" sz="1400"/>
        </a:p>
        <a:p>
          <a:pPr algn="ctr"/>
          <a:r>
            <a:rPr lang="en-IN" sz="3600"/>
            <a:t>42</a:t>
          </a:r>
        </a:p>
        <a:p>
          <a:pPr algn="ctr"/>
          <a:r>
            <a:rPr lang="en-IN" sz="1400"/>
            <a:t>21%</a:t>
          </a:r>
        </a:p>
      </xdr:txBody>
    </xdr:sp>
    <xdr:clientData/>
  </xdr:twoCellAnchor>
  <xdr:twoCellAnchor>
    <xdr:from>
      <xdr:col>16</xdr:col>
      <xdr:colOff>573742</xdr:colOff>
      <xdr:row>0</xdr:row>
      <xdr:rowOff>0</xdr:rowOff>
    </xdr:from>
    <xdr:to>
      <xdr:col>18</xdr:col>
      <xdr:colOff>717177</xdr:colOff>
      <xdr:row>4</xdr:row>
      <xdr:rowOff>143436</xdr:rowOff>
    </xdr:to>
    <xdr:sp macro="" textlink="">
      <xdr:nvSpPr>
        <xdr:cNvPr id="29" name="Rectangle: Rounded Corners 28">
          <a:extLst>
            <a:ext uri="{FF2B5EF4-FFF2-40B4-BE49-F238E27FC236}">
              <a16:creationId xmlns:a16="http://schemas.microsoft.com/office/drawing/2014/main" id="{5B667476-6274-8AD9-1122-E92F1C9E268A}"/>
            </a:ext>
          </a:extLst>
        </xdr:cNvPr>
        <xdr:cNvSpPr/>
      </xdr:nvSpPr>
      <xdr:spPr>
        <a:xfrm>
          <a:off x="10927977" y="0"/>
          <a:ext cx="1694329" cy="878542"/>
        </a:xfrm>
        <a:prstGeom prst="roundRect">
          <a:avLst/>
        </a:prstGeom>
        <a:solidFill>
          <a:schemeClr val="bg2"/>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Total Customers</a:t>
          </a:r>
        </a:p>
        <a:p>
          <a:pPr algn="ctr"/>
          <a:r>
            <a:rPr lang="en-IN" sz="2800"/>
            <a:t>200</a:t>
          </a:r>
        </a:p>
      </xdr:txBody>
    </xdr:sp>
    <xdr:clientData/>
  </xdr:twoCellAnchor>
  <xdr:twoCellAnchor editAs="oneCell">
    <xdr:from>
      <xdr:col>0</xdr:col>
      <xdr:colOff>18489</xdr:colOff>
      <xdr:row>12</xdr:row>
      <xdr:rowOff>20970</xdr:rowOff>
    </xdr:from>
    <xdr:to>
      <xdr:col>2</xdr:col>
      <xdr:colOff>248292</xdr:colOff>
      <xdr:row>17</xdr:row>
      <xdr:rowOff>34248</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3DD3204C-ABEC-42D8-9FBD-5C759FE40ED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489" y="2253091"/>
              <a:ext cx="2046288" cy="93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66262</xdr:rowOff>
    </xdr:from>
    <xdr:to>
      <xdr:col>2</xdr:col>
      <xdr:colOff>254000</xdr:colOff>
      <xdr:row>12</xdr:row>
      <xdr:rowOff>11045</xdr:rowOff>
    </xdr:to>
    <mc:AlternateContent xmlns:mc="http://schemas.openxmlformats.org/markup-compatibility/2006" xmlns:a14="http://schemas.microsoft.com/office/drawing/2010/main">
      <mc:Choice Requires="a14">
        <xdr:graphicFrame macro="">
          <xdr:nvGraphicFramePr>
            <xdr:cNvPr id="31" name="Customer Segment 1">
              <a:extLst>
                <a:ext uri="{FF2B5EF4-FFF2-40B4-BE49-F238E27FC236}">
                  <a16:creationId xmlns:a16="http://schemas.microsoft.com/office/drawing/2014/main" id="{3D2E4C9A-3EBB-4B8C-B32F-3D0EC3792CE3}"/>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0" y="820565"/>
              <a:ext cx="2070485" cy="1422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29533</xdr:colOff>
      <xdr:row>17</xdr:row>
      <xdr:rowOff>43056</xdr:rowOff>
    </xdr:from>
    <xdr:to>
      <xdr:col>2</xdr:col>
      <xdr:colOff>239730</xdr:colOff>
      <xdr:row>26</xdr:row>
      <xdr:rowOff>145551</xdr:rowOff>
    </xdr:to>
    <mc:AlternateContent xmlns:mc="http://schemas.openxmlformats.org/markup-compatibility/2006" xmlns:a14="http://schemas.microsoft.com/office/drawing/2010/main">
      <mc:Choice Requires="a14">
        <xdr:graphicFrame macro="">
          <xdr:nvGraphicFramePr>
            <xdr:cNvPr id="32" name="Age Group 1">
              <a:extLst>
                <a:ext uri="{FF2B5EF4-FFF2-40B4-BE49-F238E27FC236}">
                  <a16:creationId xmlns:a16="http://schemas.microsoft.com/office/drawing/2014/main" id="{A1A23E39-A1EA-4D34-ABA6-116361DEEB0D}"/>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29533" y="3198814"/>
              <a:ext cx="2026682" cy="176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153939</xdr:colOff>
      <xdr:row>30</xdr:row>
      <xdr:rowOff>15394</xdr:rowOff>
    </xdr:from>
    <xdr:to>
      <xdr:col>21</xdr:col>
      <xdr:colOff>84667</xdr:colOff>
      <xdr:row>45</xdr:row>
      <xdr:rowOff>115455</xdr:rowOff>
    </xdr:to>
    <xdr:sp macro="" textlink="">
      <xdr:nvSpPr>
        <xdr:cNvPr id="2" name="Rectangle 1">
          <a:extLst>
            <a:ext uri="{FF2B5EF4-FFF2-40B4-BE49-F238E27FC236}">
              <a16:creationId xmlns:a16="http://schemas.microsoft.com/office/drawing/2014/main" id="{11FD4768-700B-32F9-AB3B-4F5186B0FD19}"/>
            </a:ext>
          </a:extLst>
        </xdr:cNvPr>
        <xdr:cNvSpPr/>
      </xdr:nvSpPr>
      <xdr:spPr>
        <a:xfrm>
          <a:off x="12853939" y="5572606"/>
          <a:ext cx="2209031" cy="2870970"/>
        </a:xfrm>
        <a:prstGeom prst="rect">
          <a:avLst/>
        </a:prstGeom>
        <a:solidFill>
          <a:schemeClr val="accent6">
            <a:lumMod val="40000"/>
            <a:lumOff val="60000"/>
          </a:schemeClr>
        </a:solidFill>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KEY</a:t>
          </a:r>
          <a:r>
            <a:rPr lang="en-IN" sz="1100" b="1" baseline="0"/>
            <a:t> INSIGHTS:</a:t>
          </a:r>
        </a:p>
        <a:p>
          <a:pPr algn="l"/>
          <a:endParaRPr lang="en-IN" sz="1100" b="0" baseline="0">
            <a:latin typeface="Arial" panose="020B0604020202020204" pitchFamily="34" charset="0"/>
            <a:cs typeface="Arial" panose="020B0604020202020204" pitchFamily="34" charset="0"/>
          </a:endParaRPr>
        </a:p>
        <a:p>
          <a:pPr algn="l"/>
          <a:r>
            <a:rPr lang="en-IN" sz="1100" b="0" baseline="0">
              <a:latin typeface="Arial" panose="020B0604020202020204" pitchFamily="34" charset="0"/>
              <a:cs typeface="Arial" panose="020B0604020202020204" pitchFamily="34" charset="0"/>
            </a:rPr>
            <a:t>Most Customers are "low           value", meaning the mall faces a retention risk.</a:t>
          </a:r>
        </a:p>
        <a:p>
          <a:pPr algn="l"/>
          <a:endParaRPr lang="en-IN" sz="1100" b="0" baseline="0">
            <a:latin typeface="Arial" panose="020B0604020202020204" pitchFamily="34" charset="0"/>
            <a:cs typeface="Arial" panose="020B0604020202020204" pitchFamily="34" charset="0"/>
          </a:endParaRPr>
        </a:p>
        <a:p>
          <a:pPr algn="l"/>
          <a:r>
            <a:rPr lang="en-IN" sz="1100" b="0" baseline="0">
              <a:latin typeface="Arial" panose="020B0604020202020204" pitchFamily="34" charset="0"/>
              <a:cs typeface="Arial" panose="020B0604020202020204" pitchFamily="34" charset="0"/>
            </a:rPr>
            <a:t>High value customers contribute heavily to profits.</a:t>
          </a:r>
        </a:p>
        <a:p>
          <a:pPr algn="l"/>
          <a:endParaRPr lang="en-IN" sz="1100" b="0" baseline="0">
            <a:latin typeface="Arial" panose="020B0604020202020204" pitchFamily="34" charset="0"/>
            <a:cs typeface="Arial" panose="020B0604020202020204" pitchFamily="34" charset="0"/>
          </a:endParaRPr>
        </a:p>
        <a:p>
          <a:pPr algn="l"/>
          <a:r>
            <a:rPr lang="en-IN" sz="1100" b="0" baseline="0">
              <a:latin typeface="Arial" panose="020B0604020202020204" pitchFamily="34" charset="0"/>
              <a:cs typeface="Arial" panose="020B0604020202020204" pitchFamily="34" charset="0"/>
            </a:rPr>
            <a:t>On average, women are spending more than men.</a:t>
          </a:r>
        </a:p>
        <a:p>
          <a:pPr algn="l"/>
          <a:endParaRPr lang="en-IN" sz="1100" b="0" baseline="0">
            <a:latin typeface="Arial" panose="020B0604020202020204" pitchFamily="34" charset="0"/>
            <a:cs typeface="Arial" panose="020B0604020202020204" pitchFamily="34" charset="0"/>
          </a:endParaRPr>
        </a:p>
        <a:p>
          <a:pPr algn="l"/>
          <a:r>
            <a:rPr lang="en-IN" sz="1100" b="0" baseline="0">
              <a:latin typeface="Arial" panose="020B0604020202020204" pitchFamily="34" charset="0"/>
              <a:cs typeface="Arial" panose="020B0604020202020204" pitchFamily="34" charset="0"/>
            </a:rPr>
            <a:t>Customers within the age group of 26 - 35 show peak spending behaviour</a:t>
          </a:r>
        </a:p>
        <a:p>
          <a:pPr algn="l"/>
          <a:endParaRPr lang="en-IN" sz="1100" b="0" baseline="0">
            <a:latin typeface="Arial" panose="020B0604020202020204" pitchFamily="34" charset="0"/>
            <a:cs typeface="Arial" panose="020B0604020202020204" pitchFamily="34" charset="0"/>
          </a:endParaRPr>
        </a:p>
        <a:p>
          <a:pPr algn="l"/>
          <a:endParaRPr lang="en-IN"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19050</xdr:rowOff>
    </xdr:from>
    <xdr:to>
      <xdr:col>10</xdr:col>
      <xdr:colOff>304800</xdr:colOff>
      <xdr:row>15</xdr:row>
      <xdr:rowOff>19050</xdr:rowOff>
    </xdr:to>
    <xdr:graphicFrame macro="">
      <xdr:nvGraphicFramePr>
        <xdr:cNvPr id="2" name="Chart 1">
          <a:extLst>
            <a:ext uri="{FF2B5EF4-FFF2-40B4-BE49-F238E27FC236}">
              <a16:creationId xmlns:a16="http://schemas.microsoft.com/office/drawing/2014/main" id="{25662A31-63AB-B31F-0F9E-9539214D6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16</xdr:row>
      <xdr:rowOff>179070</xdr:rowOff>
    </xdr:from>
    <xdr:to>
      <xdr:col>10</xdr:col>
      <xdr:colOff>289560</xdr:colOff>
      <xdr:row>31</xdr:row>
      <xdr:rowOff>179070</xdr:rowOff>
    </xdr:to>
    <xdr:graphicFrame macro="">
      <xdr:nvGraphicFramePr>
        <xdr:cNvPr id="3" name="Chart 2">
          <a:extLst>
            <a:ext uri="{FF2B5EF4-FFF2-40B4-BE49-F238E27FC236}">
              <a16:creationId xmlns:a16="http://schemas.microsoft.com/office/drawing/2014/main" id="{6213C094-2D0C-2EC8-8301-B96119030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51</xdr:row>
      <xdr:rowOff>0</xdr:rowOff>
    </xdr:from>
    <xdr:to>
      <xdr:col>10</xdr:col>
      <xdr:colOff>304800</xdr:colOff>
      <xdr:row>66</xdr:row>
      <xdr:rowOff>0</xdr:rowOff>
    </xdr:to>
    <xdr:graphicFrame macro="">
      <xdr:nvGraphicFramePr>
        <xdr:cNvPr id="5" name="Chart 4">
          <a:extLst>
            <a:ext uri="{FF2B5EF4-FFF2-40B4-BE49-F238E27FC236}">
              <a16:creationId xmlns:a16="http://schemas.microsoft.com/office/drawing/2014/main" id="{D30B4A49-B264-4AB3-BF62-40A5A8159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33</xdr:row>
      <xdr:rowOff>3810</xdr:rowOff>
    </xdr:from>
    <xdr:to>
      <xdr:col>10</xdr:col>
      <xdr:colOff>312420</xdr:colOff>
      <xdr:row>48</xdr:row>
      <xdr:rowOff>3810</xdr:rowOff>
    </xdr:to>
    <xdr:graphicFrame macro="">
      <xdr:nvGraphicFramePr>
        <xdr:cNvPr id="6" name="Chart 5">
          <a:extLst>
            <a:ext uri="{FF2B5EF4-FFF2-40B4-BE49-F238E27FC236}">
              <a16:creationId xmlns:a16="http://schemas.microsoft.com/office/drawing/2014/main" id="{C6EE8110-C8EF-8A07-82A6-0BD93BDE9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601980</xdr:colOff>
      <xdr:row>1</xdr:row>
      <xdr:rowOff>15240</xdr:rowOff>
    </xdr:from>
    <xdr:to>
      <xdr:col>13</xdr:col>
      <xdr:colOff>601980</xdr:colOff>
      <xdr:row>14</xdr:row>
      <xdr:rowOff>104775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10A71033-D106-D4E8-D144-69C2663C07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2406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5</xdr:row>
      <xdr:rowOff>83820</xdr:rowOff>
    </xdr:from>
    <xdr:to>
      <xdr:col>16</xdr:col>
      <xdr:colOff>38100</xdr:colOff>
      <xdr:row>18</xdr:row>
      <xdr:rowOff>173355</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066DCE67-2BF4-2AAF-0D9C-9FB7AE268618}"/>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888980" y="99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426720</xdr:colOff>
      <xdr:row>14</xdr:row>
      <xdr:rowOff>99060</xdr:rowOff>
    </xdr:from>
    <xdr:to>
      <xdr:col>13</xdr:col>
      <xdr:colOff>426720</xdr:colOff>
      <xdr:row>28</xdr:row>
      <xdr:rowOff>5715</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EEA18C7F-4628-339C-F252-72A30B8B203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448800" y="2659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sh Navada" refreshedDate="46194.498335416669" createdVersion="8" refreshedVersion="8" minRefreshableVersion="3" recordCount="200" xr:uid="{4F35C069-11B4-4A4C-96D6-923753ED5A48}">
  <cacheSource type="worksheet">
    <worksheetSource ref="A1:G201" sheet="Raw Dataset"/>
  </cacheSource>
  <cacheFields count="7">
    <cacheField name="CustomerID" numFmtId="0">
      <sharedItems containsSemiMixedTypes="0" containsString="0" containsNumber="1" containsInteger="1" minValue="1" maxValue="200"/>
    </cacheField>
    <cacheField name="Gender" numFmtId="0">
      <sharedItems count="2">
        <s v="Male"/>
        <s v="Female"/>
      </sharedItems>
    </cacheField>
    <cacheField name="Age" numFmtId="0">
      <sharedItems containsSemiMixedTypes="0" containsString="0" containsNumber="1" containsInteger="1" minValue="18" maxValue="70"/>
    </cacheField>
    <cacheField name="Annual Income (k$)" numFmtId="0">
      <sharedItems containsSemiMixedTypes="0" containsString="0" containsNumber="1" containsInteger="1" minValue="15" maxValue="137"/>
    </cacheField>
    <cacheField name="Spending Score (1-100)" numFmtId="0">
      <sharedItems containsSemiMixedTypes="0" containsString="0" containsNumber="1" containsInteger="1" minValue="1" maxValue="99"/>
    </cacheField>
    <cacheField name="Customer Segment" numFmtId="0">
      <sharedItems count="4">
        <s v="Low Value"/>
        <s v="Impulsive"/>
        <s v="Potential"/>
        <s v="High Value"/>
      </sharedItems>
    </cacheField>
    <cacheField name="Age Group" numFmtId="0">
      <sharedItems count="5">
        <s v="18-25"/>
        <s v="26-35"/>
        <s v="56+"/>
        <s v="36-45"/>
        <s v="46-55"/>
      </sharedItems>
    </cacheField>
  </cacheFields>
  <extLst>
    <ext xmlns:x14="http://schemas.microsoft.com/office/spreadsheetml/2009/9/main" uri="{725AE2AE-9491-48be-B2B4-4EB974FC3084}">
      <x14:pivotCacheDefinition pivotCacheId="1946451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19"/>
    <n v="15"/>
    <n v="39"/>
    <x v="0"/>
    <x v="0"/>
  </r>
  <r>
    <n v="2"/>
    <x v="0"/>
    <n v="21"/>
    <n v="15"/>
    <n v="81"/>
    <x v="1"/>
    <x v="0"/>
  </r>
  <r>
    <n v="3"/>
    <x v="1"/>
    <n v="20"/>
    <n v="16"/>
    <n v="6"/>
    <x v="0"/>
    <x v="0"/>
  </r>
  <r>
    <n v="4"/>
    <x v="1"/>
    <n v="23"/>
    <n v="16"/>
    <n v="77"/>
    <x v="1"/>
    <x v="0"/>
  </r>
  <r>
    <n v="5"/>
    <x v="1"/>
    <n v="31"/>
    <n v="17"/>
    <n v="40"/>
    <x v="0"/>
    <x v="1"/>
  </r>
  <r>
    <n v="6"/>
    <x v="1"/>
    <n v="22"/>
    <n v="17"/>
    <n v="76"/>
    <x v="1"/>
    <x v="0"/>
  </r>
  <r>
    <n v="7"/>
    <x v="1"/>
    <n v="35"/>
    <n v="18"/>
    <n v="6"/>
    <x v="0"/>
    <x v="1"/>
  </r>
  <r>
    <n v="8"/>
    <x v="1"/>
    <n v="23"/>
    <n v="18"/>
    <n v="94"/>
    <x v="1"/>
    <x v="0"/>
  </r>
  <r>
    <n v="9"/>
    <x v="0"/>
    <n v="64"/>
    <n v="19"/>
    <n v="3"/>
    <x v="0"/>
    <x v="2"/>
  </r>
  <r>
    <n v="10"/>
    <x v="1"/>
    <n v="30"/>
    <n v="19"/>
    <n v="72"/>
    <x v="1"/>
    <x v="1"/>
  </r>
  <r>
    <n v="11"/>
    <x v="0"/>
    <n v="67"/>
    <n v="19"/>
    <n v="14"/>
    <x v="0"/>
    <x v="2"/>
  </r>
  <r>
    <n v="12"/>
    <x v="1"/>
    <n v="35"/>
    <n v="19"/>
    <n v="99"/>
    <x v="1"/>
    <x v="1"/>
  </r>
  <r>
    <n v="13"/>
    <x v="1"/>
    <n v="58"/>
    <n v="20"/>
    <n v="15"/>
    <x v="0"/>
    <x v="2"/>
  </r>
  <r>
    <n v="14"/>
    <x v="1"/>
    <n v="24"/>
    <n v="20"/>
    <n v="77"/>
    <x v="1"/>
    <x v="0"/>
  </r>
  <r>
    <n v="15"/>
    <x v="0"/>
    <n v="37"/>
    <n v="20"/>
    <n v="13"/>
    <x v="0"/>
    <x v="3"/>
  </r>
  <r>
    <n v="16"/>
    <x v="0"/>
    <n v="22"/>
    <n v="20"/>
    <n v="79"/>
    <x v="1"/>
    <x v="0"/>
  </r>
  <r>
    <n v="17"/>
    <x v="1"/>
    <n v="35"/>
    <n v="21"/>
    <n v="35"/>
    <x v="0"/>
    <x v="1"/>
  </r>
  <r>
    <n v="18"/>
    <x v="0"/>
    <n v="20"/>
    <n v="21"/>
    <n v="66"/>
    <x v="0"/>
    <x v="0"/>
  </r>
  <r>
    <n v="19"/>
    <x v="0"/>
    <n v="52"/>
    <n v="23"/>
    <n v="29"/>
    <x v="0"/>
    <x v="4"/>
  </r>
  <r>
    <n v="20"/>
    <x v="1"/>
    <n v="35"/>
    <n v="23"/>
    <n v="98"/>
    <x v="1"/>
    <x v="1"/>
  </r>
  <r>
    <n v="21"/>
    <x v="0"/>
    <n v="35"/>
    <n v="24"/>
    <n v="35"/>
    <x v="0"/>
    <x v="1"/>
  </r>
  <r>
    <n v="22"/>
    <x v="0"/>
    <n v="25"/>
    <n v="24"/>
    <n v="73"/>
    <x v="1"/>
    <x v="0"/>
  </r>
  <r>
    <n v="23"/>
    <x v="1"/>
    <n v="46"/>
    <n v="25"/>
    <n v="5"/>
    <x v="0"/>
    <x v="4"/>
  </r>
  <r>
    <n v="24"/>
    <x v="0"/>
    <n v="31"/>
    <n v="25"/>
    <n v="73"/>
    <x v="1"/>
    <x v="1"/>
  </r>
  <r>
    <n v="25"/>
    <x v="1"/>
    <n v="54"/>
    <n v="28"/>
    <n v="14"/>
    <x v="0"/>
    <x v="4"/>
  </r>
  <r>
    <n v="26"/>
    <x v="0"/>
    <n v="29"/>
    <n v="28"/>
    <n v="82"/>
    <x v="1"/>
    <x v="1"/>
  </r>
  <r>
    <n v="27"/>
    <x v="1"/>
    <n v="45"/>
    <n v="28"/>
    <n v="32"/>
    <x v="0"/>
    <x v="3"/>
  </r>
  <r>
    <n v="28"/>
    <x v="0"/>
    <n v="35"/>
    <n v="28"/>
    <n v="61"/>
    <x v="0"/>
    <x v="1"/>
  </r>
  <r>
    <n v="29"/>
    <x v="1"/>
    <n v="40"/>
    <n v="29"/>
    <n v="31"/>
    <x v="0"/>
    <x v="3"/>
  </r>
  <r>
    <n v="30"/>
    <x v="1"/>
    <n v="23"/>
    <n v="29"/>
    <n v="87"/>
    <x v="1"/>
    <x v="0"/>
  </r>
  <r>
    <n v="31"/>
    <x v="0"/>
    <n v="60"/>
    <n v="30"/>
    <n v="4"/>
    <x v="0"/>
    <x v="2"/>
  </r>
  <r>
    <n v="32"/>
    <x v="1"/>
    <n v="21"/>
    <n v="30"/>
    <n v="73"/>
    <x v="1"/>
    <x v="0"/>
  </r>
  <r>
    <n v="33"/>
    <x v="0"/>
    <n v="53"/>
    <n v="33"/>
    <n v="4"/>
    <x v="0"/>
    <x v="4"/>
  </r>
  <r>
    <n v="34"/>
    <x v="0"/>
    <n v="18"/>
    <n v="33"/>
    <n v="92"/>
    <x v="1"/>
    <x v="0"/>
  </r>
  <r>
    <n v="35"/>
    <x v="1"/>
    <n v="49"/>
    <n v="33"/>
    <n v="14"/>
    <x v="0"/>
    <x v="4"/>
  </r>
  <r>
    <n v="36"/>
    <x v="1"/>
    <n v="21"/>
    <n v="33"/>
    <n v="81"/>
    <x v="1"/>
    <x v="0"/>
  </r>
  <r>
    <n v="37"/>
    <x v="1"/>
    <n v="42"/>
    <n v="34"/>
    <n v="17"/>
    <x v="0"/>
    <x v="3"/>
  </r>
  <r>
    <n v="38"/>
    <x v="1"/>
    <n v="30"/>
    <n v="34"/>
    <n v="73"/>
    <x v="1"/>
    <x v="1"/>
  </r>
  <r>
    <n v="39"/>
    <x v="1"/>
    <n v="36"/>
    <n v="37"/>
    <n v="26"/>
    <x v="0"/>
    <x v="3"/>
  </r>
  <r>
    <n v="40"/>
    <x v="1"/>
    <n v="20"/>
    <n v="37"/>
    <n v="75"/>
    <x v="1"/>
    <x v="0"/>
  </r>
  <r>
    <n v="41"/>
    <x v="1"/>
    <n v="65"/>
    <n v="38"/>
    <n v="35"/>
    <x v="0"/>
    <x v="2"/>
  </r>
  <r>
    <n v="42"/>
    <x v="0"/>
    <n v="24"/>
    <n v="38"/>
    <n v="92"/>
    <x v="1"/>
    <x v="0"/>
  </r>
  <r>
    <n v="43"/>
    <x v="0"/>
    <n v="48"/>
    <n v="39"/>
    <n v="36"/>
    <x v="0"/>
    <x v="4"/>
  </r>
  <r>
    <n v="44"/>
    <x v="1"/>
    <n v="31"/>
    <n v="39"/>
    <n v="61"/>
    <x v="0"/>
    <x v="1"/>
  </r>
  <r>
    <n v="45"/>
    <x v="1"/>
    <n v="49"/>
    <n v="39"/>
    <n v="28"/>
    <x v="0"/>
    <x v="4"/>
  </r>
  <r>
    <n v="46"/>
    <x v="1"/>
    <n v="24"/>
    <n v="39"/>
    <n v="65"/>
    <x v="0"/>
    <x v="0"/>
  </r>
  <r>
    <n v="47"/>
    <x v="1"/>
    <n v="50"/>
    <n v="40"/>
    <n v="55"/>
    <x v="0"/>
    <x v="4"/>
  </r>
  <r>
    <n v="48"/>
    <x v="1"/>
    <n v="27"/>
    <n v="40"/>
    <n v="47"/>
    <x v="0"/>
    <x v="1"/>
  </r>
  <r>
    <n v="49"/>
    <x v="1"/>
    <n v="29"/>
    <n v="40"/>
    <n v="42"/>
    <x v="0"/>
    <x v="1"/>
  </r>
  <r>
    <n v="50"/>
    <x v="1"/>
    <n v="31"/>
    <n v="40"/>
    <n v="42"/>
    <x v="0"/>
    <x v="1"/>
  </r>
  <r>
    <n v="51"/>
    <x v="1"/>
    <n v="49"/>
    <n v="42"/>
    <n v="52"/>
    <x v="0"/>
    <x v="4"/>
  </r>
  <r>
    <n v="52"/>
    <x v="0"/>
    <n v="33"/>
    <n v="42"/>
    <n v="60"/>
    <x v="0"/>
    <x v="1"/>
  </r>
  <r>
    <n v="53"/>
    <x v="1"/>
    <n v="31"/>
    <n v="43"/>
    <n v="54"/>
    <x v="0"/>
    <x v="1"/>
  </r>
  <r>
    <n v="54"/>
    <x v="0"/>
    <n v="59"/>
    <n v="43"/>
    <n v="60"/>
    <x v="0"/>
    <x v="2"/>
  </r>
  <r>
    <n v="55"/>
    <x v="1"/>
    <n v="50"/>
    <n v="43"/>
    <n v="45"/>
    <x v="0"/>
    <x v="4"/>
  </r>
  <r>
    <n v="56"/>
    <x v="0"/>
    <n v="47"/>
    <n v="43"/>
    <n v="41"/>
    <x v="0"/>
    <x v="4"/>
  </r>
  <r>
    <n v="57"/>
    <x v="1"/>
    <n v="51"/>
    <n v="44"/>
    <n v="50"/>
    <x v="0"/>
    <x v="4"/>
  </r>
  <r>
    <n v="58"/>
    <x v="0"/>
    <n v="69"/>
    <n v="44"/>
    <n v="46"/>
    <x v="0"/>
    <x v="2"/>
  </r>
  <r>
    <n v="59"/>
    <x v="1"/>
    <n v="27"/>
    <n v="46"/>
    <n v="51"/>
    <x v="0"/>
    <x v="1"/>
  </r>
  <r>
    <n v="60"/>
    <x v="0"/>
    <n v="53"/>
    <n v="46"/>
    <n v="46"/>
    <x v="0"/>
    <x v="4"/>
  </r>
  <r>
    <n v="61"/>
    <x v="0"/>
    <n v="70"/>
    <n v="46"/>
    <n v="56"/>
    <x v="0"/>
    <x v="2"/>
  </r>
  <r>
    <n v="62"/>
    <x v="0"/>
    <n v="19"/>
    <n v="46"/>
    <n v="55"/>
    <x v="0"/>
    <x v="0"/>
  </r>
  <r>
    <n v="63"/>
    <x v="1"/>
    <n v="67"/>
    <n v="47"/>
    <n v="52"/>
    <x v="0"/>
    <x v="2"/>
  </r>
  <r>
    <n v="64"/>
    <x v="1"/>
    <n v="54"/>
    <n v="47"/>
    <n v="59"/>
    <x v="0"/>
    <x v="4"/>
  </r>
  <r>
    <n v="65"/>
    <x v="0"/>
    <n v="63"/>
    <n v="48"/>
    <n v="51"/>
    <x v="0"/>
    <x v="2"/>
  </r>
  <r>
    <n v="66"/>
    <x v="0"/>
    <n v="18"/>
    <n v="48"/>
    <n v="59"/>
    <x v="0"/>
    <x v="0"/>
  </r>
  <r>
    <n v="67"/>
    <x v="1"/>
    <n v="43"/>
    <n v="48"/>
    <n v="50"/>
    <x v="0"/>
    <x v="3"/>
  </r>
  <r>
    <n v="68"/>
    <x v="1"/>
    <n v="68"/>
    <n v="48"/>
    <n v="48"/>
    <x v="0"/>
    <x v="2"/>
  </r>
  <r>
    <n v="69"/>
    <x v="0"/>
    <n v="19"/>
    <n v="48"/>
    <n v="59"/>
    <x v="0"/>
    <x v="0"/>
  </r>
  <r>
    <n v="70"/>
    <x v="1"/>
    <n v="32"/>
    <n v="48"/>
    <n v="47"/>
    <x v="0"/>
    <x v="1"/>
  </r>
  <r>
    <n v="71"/>
    <x v="0"/>
    <n v="70"/>
    <n v="49"/>
    <n v="55"/>
    <x v="0"/>
    <x v="2"/>
  </r>
  <r>
    <n v="72"/>
    <x v="1"/>
    <n v="47"/>
    <n v="49"/>
    <n v="42"/>
    <x v="0"/>
    <x v="4"/>
  </r>
  <r>
    <n v="73"/>
    <x v="1"/>
    <n v="60"/>
    <n v="50"/>
    <n v="49"/>
    <x v="0"/>
    <x v="2"/>
  </r>
  <r>
    <n v="74"/>
    <x v="1"/>
    <n v="60"/>
    <n v="50"/>
    <n v="56"/>
    <x v="0"/>
    <x v="2"/>
  </r>
  <r>
    <n v="75"/>
    <x v="0"/>
    <n v="59"/>
    <n v="54"/>
    <n v="47"/>
    <x v="0"/>
    <x v="2"/>
  </r>
  <r>
    <n v="76"/>
    <x v="0"/>
    <n v="26"/>
    <n v="54"/>
    <n v="54"/>
    <x v="0"/>
    <x v="1"/>
  </r>
  <r>
    <n v="77"/>
    <x v="1"/>
    <n v="45"/>
    <n v="54"/>
    <n v="53"/>
    <x v="0"/>
    <x v="3"/>
  </r>
  <r>
    <n v="78"/>
    <x v="0"/>
    <n v="40"/>
    <n v="54"/>
    <n v="48"/>
    <x v="0"/>
    <x v="3"/>
  </r>
  <r>
    <n v="79"/>
    <x v="1"/>
    <n v="23"/>
    <n v="54"/>
    <n v="52"/>
    <x v="0"/>
    <x v="0"/>
  </r>
  <r>
    <n v="80"/>
    <x v="1"/>
    <n v="49"/>
    <n v="54"/>
    <n v="42"/>
    <x v="0"/>
    <x v="4"/>
  </r>
  <r>
    <n v="81"/>
    <x v="0"/>
    <n v="57"/>
    <n v="54"/>
    <n v="51"/>
    <x v="0"/>
    <x v="2"/>
  </r>
  <r>
    <n v="82"/>
    <x v="0"/>
    <n v="38"/>
    <n v="54"/>
    <n v="55"/>
    <x v="0"/>
    <x v="3"/>
  </r>
  <r>
    <n v="83"/>
    <x v="0"/>
    <n v="67"/>
    <n v="54"/>
    <n v="41"/>
    <x v="0"/>
    <x v="2"/>
  </r>
  <r>
    <n v="84"/>
    <x v="1"/>
    <n v="46"/>
    <n v="54"/>
    <n v="44"/>
    <x v="0"/>
    <x v="4"/>
  </r>
  <r>
    <n v="85"/>
    <x v="1"/>
    <n v="21"/>
    <n v="54"/>
    <n v="57"/>
    <x v="0"/>
    <x v="0"/>
  </r>
  <r>
    <n v="86"/>
    <x v="0"/>
    <n v="48"/>
    <n v="54"/>
    <n v="46"/>
    <x v="0"/>
    <x v="4"/>
  </r>
  <r>
    <n v="87"/>
    <x v="1"/>
    <n v="55"/>
    <n v="57"/>
    <n v="58"/>
    <x v="0"/>
    <x v="4"/>
  </r>
  <r>
    <n v="88"/>
    <x v="1"/>
    <n v="22"/>
    <n v="57"/>
    <n v="55"/>
    <x v="0"/>
    <x v="0"/>
  </r>
  <r>
    <n v="89"/>
    <x v="1"/>
    <n v="34"/>
    <n v="58"/>
    <n v="60"/>
    <x v="0"/>
    <x v="1"/>
  </r>
  <r>
    <n v="90"/>
    <x v="1"/>
    <n v="50"/>
    <n v="58"/>
    <n v="46"/>
    <x v="0"/>
    <x v="4"/>
  </r>
  <r>
    <n v="91"/>
    <x v="1"/>
    <n v="68"/>
    <n v="59"/>
    <n v="55"/>
    <x v="0"/>
    <x v="2"/>
  </r>
  <r>
    <n v="92"/>
    <x v="0"/>
    <n v="18"/>
    <n v="59"/>
    <n v="41"/>
    <x v="0"/>
    <x v="0"/>
  </r>
  <r>
    <n v="93"/>
    <x v="0"/>
    <n v="48"/>
    <n v="60"/>
    <n v="49"/>
    <x v="0"/>
    <x v="4"/>
  </r>
  <r>
    <n v="94"/>
    <x v="1"/>
    <n v="40"/>
    <n v="60"/>
    <n v="40"/>
    <x v="0"/>
    <x v="3"/>
  </r>
  <r>
    <n v="95"/>
    <x v="1"/>
    <n v="32"/>
    <n v="60"/>
    <n v="42"/>
    <x v="0"/>
    <x v="1"/>
  </r>
  <r>
    <n v="96"/>
    <x v="0"/>
    <n v="24"/>
    <n v="60"/>
    <n v="52"/>
    <x v="0"/>
    <x v="0"/>
  </r>
  <r>
    <n v="97"/>
    <x v="1"/>
    <n v="47"/>
    <n v="60"/>
    <n v="47"/>
    <x v="0"/>
    <x v="4"/>
  </r>
  <r>
    <n v="98"/>
    <x v="1"/>
    <n v="27"/>
    <n v="60"/>
    <n v="50"/>
    <x v="0"/>
    <x v="1"/>
  </r>
  <r>
    <n v="99"/>
    <x v="0"/>
    <n v="48"/>
    <n v="61"/>
    <n v="42"/>
    <x v="0"/>
    <x v="4"/>
  </r>
  <r>
    <n v="100"/>
    <x v="0"/>
    <n v="20"/>
    <n v="61"/>
    <n v="49"/>
    <x v="0"/>
    <x v="0"/>
  </r>
  <r>
    <n v="101"/>
    <x v="1"/>
    <n v="23"/>
    <n v="62"/>
    <n v="41"/>
    <x v="0"/>
    <x v="0"/>
  </r>
  <r>
    <n v="102"/>
    <x v="1"/>
    <n v="49"/>
    <n v="62"/>
    <n v="48"/>
    <x v="0"/>
    <x v="4"/>
  </r>
  <r>
    <n v="103"/>
    <x v="0"/>
    <n v="67"/>
    <n v="62"/>
    <n v="59"/>
    <x v="0"/>
    <x v="2"/>
  </r>
  <r>
    <n v="104"/>
    <x v="0"/>
    <n v="26"/>
    <n v="62"/>
    <n v="55"/>
    <x v="0"/>
    <x v="1"/>
  </r>
  <r>
    <n v="105"/>
    <x v="0"/>
    <n v="49"/>
    <n v="62"/>
    <n v="56"/>
    <x v="0"/>
    <x v="4"/>
  </r>
  <r>
    <n v="106"/>
    <x v="1"/>
    <n v="21"/>
    <n v="62"/>
    <n v="42"/>
    <x v="0"/>
    <x v="0"/>
  </r>
  <r>
    <n v="107"/>
    <x v="1"/>
    <n v="66"/>
    <n v="63"/>
    <n v="50"/>
    <x v="0"/>
    <x v="2"/>
  </r>
  <r>
    <n v="108"/>
    <x v="0"/>
    <n v="54"/>
    <n v="63"/>
    <n v="46"/>
    <x v="0"/>
    <x v="4"/>
  </r>
  <r>
    <n v="109"/>
    <x v="0"/>
    <n v="68"/>
    <n v="63"/>
    <n v="43"/>
    <x v="0"/>
    <x v="2"/>
  </r>
  <r>
    <n v="110"/>
    <x v="0"/>
    <n v="66"/>
    <n v="63"/>
    <n v="48"/>
    <x v="0"/>
    <x v="2"/>
  </r>
  <r>
    <n v="111"/>
    <x v="0"/>
    <n v="65"/>
    <n v="63"/>
    <n v="52"/>
    <x v="0"/>
    <x v="2"/>
  </r>
  <r>
    <n v="112"/>
    <x v="1"/>
    <n v="19"/>
    <n v="63"/>
    <n v="54"/>
    <x v="0"/>
    <x v="0"/>
  </r>
  <r>
    <n v="113"/>
    <x v="1"/>
    <n v="38"/>
    <n v="64"/>
    <n v="42"/>
    <x v="0"/>
    <x v="3"/>
  </r>
  <r>
    <n v="114"/>
    <x v="0"/>
    <n v="19"/>
    <n v="64"/>
    <n v="46"/>
    <x v="0"/>
    <x v="0"/>
  </r>
  <r>
    <n v="115"/>
    <x v="1"/>
    <n v="18"/>
    <n v="65"/>
    <n v="48"/>
    <x v="0"/>
    <x v="0"/>
  </r>
  <r>
    <n v="116"/>
    <x v="1"/>
    <n v="19"/>
    <n v="65"/>
    <n v="50"/>
    <x v="0"/>
    <x v="0"/>
  </r>
  <r>
    <n v="117"/>
    <x v="1"/>
    <n v="63"/>
    <n v="65"/>
    <n v="43"/>
    <x v="0"/>
    <x v="2"/>
  </r>
  <r>
    <n v="118"/>
    <x v="1"/>
    <n v="49"/>
    <n v="65"/>
    <n v="59"/>
    <x v="0"/>
    <x v="4"/>
  </r>
  <r>
    <n v="119"/>
    <x v="1"/>
    <n v="51"/>
    <n v="67"/>
    <n v="43"/>
    <x v="0"/>
    <x v="4"/>
  </r>
  <r>
    <n v="120"/>
    <x v="1"/>
    <n v="50"/>
    <n v="67"/>
    <n v="57"/>
    <x v="0"/>
    <x v="4"/>
  </r>
  <r>
    <n v="121"/>
    <x v="0"/>
    <n v="27"/>
    <n v="67"/>
    <n v="56"/>
    <x v="0"/>
    <x v="1"/>
  </r>
  <r>
    <n v="122"/>
    <x v="1"/>
    <n v="38"/>
    <n v="67"/>
    <n v="40"/>
    <x v="0"/>
    <x v="3"/>
  </r>
  <r>
    <n v="123"/>
    <x v="1"/>
    <n v="40"/>
    <n v="69"/>
    <n v="58"/>
    <x v="0"/>
    <x v="3"/>
  </r>
  <r>
    <n v="124"/>
    <x v="0"/>
    <n v="39"/>
    <n v="69"/>
    <n v="91"/>
    <x v="1"/>
    <x v="3"/>
  </r>
  <r>
    <n v="125"/>
    <x v="1"/>
    <n v="23"/>
    <n v="70"/>
    <n v="29"/>
    <x v="2"/>
    <x v="0"/>
  </r>
  <r>
    <n v="126"/>
    <x v="1"/>
    <n v="31"/>
    <n v="70"/>
    <n v="77"/>
    <x v="3"/>
    <x v="1"/>
  </r>
  <r>
    <n v="127"/>
    <x v="0"/>
    <n v="43"/>
    <n v="71"/>
    <n v="35"/>
    <x v="2"/>
    <x v="3"/>
  </r>
  <r>
    <n v="128"/>
    <x v="0"/>
    <n v="40"/>
    <n v="71"/>
    <n v="95"/>
    <x v="3"/>
    <x v="3"/>
  </r>
  <r>
    <n v="129"/>
    <x v="0"/>
    <n v="59"/>
    <n v="71"/>
    <n v="11"/>
    <x v="2"/>
    <x v="2"/>
  </r>
  <r>
    <n v="130"/>
    <x v="0"/>
    <n v="38"/>
    <n v="71"/>
    <n v="75"/>
    <x v="3"/>
    <x v="3"/>
  </r>
  <r>
    <n v="131"/>
    <x v="0"/>
    <n v="47"/>
    <n v="71"/>
    <n v="9"/>
    <x v="2"/>
    <x v="4"/>
  </r>
  <r>
    <n v="132"/>
    <x v="0"/>
    <n v="39"/>
    <n v="71"/>
    <n v="75"/>
    <x v="3"/>
    <x v="3"/>
  </r>
  <r>
    <n v="133"/>
    <x v="1"/>
    <n v="25"/>
    <n v="72"/>
    <n v="34"/>
    <x v="2"/>
    <x v="0"/>
  </r>
  <r>
    <n v="134"/>
    <x v="1"/>
    <n v="31"/>
    <n v="72"/>
    <n v="71"/>
    <x v="3"/>
    <x v="1"/>
  </r>
  <r>
    <n v="135"/>
    <x v="0"/>
    <n v="20"/>
    <n v="73"/>
    <n v="5"/>
    <x v="2"/>
    <x v="0"/>
  </r>
  <r>
    <n v="136"/>
    <x v="1"/>
    <n v="29"/>
    <n v="73"/>
    <n v="88"/>
    <x v="3"/>
    <x v="1"/>
  </r>
  <r>
    <n v="137"/>
    <x v="1"/>
    <n v="44"/>
    <n v="73"/>
    <n v="7"/>
    <x v="2"/>
    <x v="3"/>
  </r>
  <r>
    <n v="138"/>
    <x v="0"/>
    <n v="32"/>
    <n v="73"/>
    <n v="73"/>
    <x v="3"/>
    <x v="1"/>
  </r>
  <r>
    <n v="139"/>
    <x v="0"/>
    <n v="19"/>
    <n v="74"/>
    <n v="10"/>
    <x v="2"/>
    <x v="0"/>
  </r>
  <r>
    <n v="140"/>
    <x v="1"/>
    <n v="35"/>
    <n v="74"/>
    <n v="72"/>
    <x v="3"/>
    <x v="1"/>
  </r>
  <r>
    <n v="141"/>
    <x v="1"/>
    <n v="57"/>
    <n v="75"/>
    <n v="5"/>
    <x v="2"/>
    <x v="2"/>
  </r>
  <r>
    <n v="142"/>
    <x v="0"/>
    <n v="32"/>
    <n v="75"/>
    <n v="93"/>
    <x v="3"/>
    <x v="1"/>
  </r>
  <r>
    <n v="143"/>
    <x v="1"/>
    <n v="28"/>
    <n v="76"/>
    <n v="40"/>
    <x v="2"/>
    <x v="1"/>
  </r>
  <r>
    <n v="144"/>
    <x v="1"/>
    <n v="32"/>
    <n v="76"/>
    <n v="87"/>
    <x v="3"/>
    <x v="1"/>
  </r>
  <r>
    <n v="145"/>
    <x v="0"/>
    <n v="25"/>
    <n v="77"/>
    <n v="12"/>
    <x v="2"/>
    <x v="0"/>
  </r>
  <r>
    <n v="146"/>
    <x v="0"/>
    <n v="28"/>
    <n v="77"/>
    <n v="97"/>
    <x v="3"/>
    <x v="1"/>
  </r>
  <r>
    <n v="147"/>
    <x v="0"/>
    <n v="48"/>
    <n v="77"/>
    <n v="36"/>
    <x v="2"/>
    <x v="4"/>
  </r>
  <r>
    <n v="148"/>
    <x v="1"/>
    <n v="32"/>
    <n v="77"/>
    <n v="74"/>
    <x v="3"/>
    <x v="1"/>
  </r>
  <r>
    <n v="149"/>
    <x v="1"/>
    <n v="34"/>
    <n v="78"/>
    <n v="22"/>
    <x v="2"/>
    <x v="1"/>
  </r>
  <r>
    <n v="150"/>
    <x v="0"/>
    <n v="34"/>
    <n v="78"/>
    <n v="90"/>
    <x v="3"/>
    <x v="1"/>
  </r>
  <r>
    <n v="151"/>
    <x v="0"/>
    <n v="43"/>
    <n v="78"/>
    <n v="17"/>
    <x v="2"/>
    <x v="3"/>
  </r>
  <r>
    <n v="152"/>
    <x v="0"/>
    <n v="39"/>
    <n v="78"/>
    <n v="88"/>
    <x v="3"/>
    <x v="3"/>
  </r>
  <r>
    <n v="153"/>
    <x v="1"/>
    <n v="44"/>
    <n v="78"/>
    <n v="20"/>
    <x v="2"/>
    <x v="3"/>
  </r>
  <r>
    <n v="154"/>
    <x v="1"/>
    <n v="38"/>
    <n v="78"/>
    <n v="76"/>
    <x v="3"/>
    <x v="3"/>
  </r>
  <r>
    <n v="155"/>
    <x v="1"/>
    <n v="47"/>
    <n v="78"/>
    <n v="16"/>
    <x v="2"/>
    <x v="4"/>
  </r>
  <r>
    <n v="156"/>
    <x v="1"/>
    <n v="27"/>
    <n v="78"/>
    <n v="89"/>
    <x v="3"/>
    <x v="1"/>
  </r>
  <r>
    <n v="157"/>
    <x v="0"/>
    <n v="37"/>
    <n v="78"/>
    <n v="1"/>
    <x v="2"/>
    <x v="3"/>
  </r>
  <r>
    <n v="158"/>
    <x v="1"/>
    <n v="30"/>
    <n v="78"/>
    <n v="78"/>
    <x v="3"/>
    <x v="1"/>
  </r>
  <r>
    <n v="159"/>
    <x v="0"/>
    <n v="34"/>
    <n v="78"/>
    <n v="1"/>
    <x v="2"/>
    <x v="1"/>
  </r>
  <r>
    <n v="160"/>
    <x v="1"/>
    <n v="30"/>
    <n v="78"/>
    <n v="73"/>
    <x v="3"/>
    <x v="1"/>
  </r>
  <r>
    <n v="161"/>
    <x v="1"/>
    <n v="56"/>
    <n v="79"/>
    <n v="35"/>
    <x v="2"/>
    <x v="2"/>
  </r>
  <r>
    <n v="162"/>
    <x v="1"/>
    <n v="29"/>
    <n v="79"/>
    <n v="83"/>
    <x v="3"/>
    <x v="1"/>
  </r>
  <r>
    <n v="163"/>
    <x v="0"/>
    <n v="19"/>
    <n v="81"/>
    <n v="5"/>
    <x v="2"/>
    <x v="0"/>
  </r>
  <r>
    <n v="164"/>
    <x v="1"/>
    <n v="31"/>
    <n v="81"/>
    <n v="93"/>
    <x v="3"/>
    <x v="1"/>
  </r>
  <r>
    <n v="165"/>
    <x v="0"/>
    <n v="50"/>
    <n v="85"/>
    <n v="26"/>
    <x v="2"/>
    <x v="4"/>
  </r>
  <r>
    <n v="166"/>
    <x v="1"/>
    <n v="36"/>
    <n v="85"/>
    <n v="75"/>
    <x v="3"/>
    <x v="3"/>
  </r>
  <r>
    <n v="167"/>
    <x v="0"/>
    <n v="42"/>
    <n v="86"/>
    <n v="20"/>
    <x v="2"/>
    <x v="3"/>
  </r>
  <r>
    <n v="168"/>
    <x v="1"/>
    <n v="33"/>
    <n v="86"/>
    <n v="95"/>
    <x v="3"/>
    <x v="1"/>
  </r>
  <r>
    <n v="169"/>
    <x v="1"/>
    <n v="36"/>
    <n v="87"/>
    <n v="27"/>
    <x v="2"/>
    <x v="3"/>
  </r>
  <r>
    <n v="170"/>
    <x v="0"/>
    <n v="32"/>
    <n v="87"/>
    <n v="63"/>
    <x v="2"/>
    <x v="1"/>
  </r>
  <r>
    <n v="171"/>
    <x v="0"/>
    <n v="40"/>
    <n v="87"/>
    <n v="13"/>
    <x v="2"/>
    <x v="3"/>
  </r>
  <r>
    <n v="172"/>
    <x v="0"/>
    <n v="28"/>
    <n v="87"/>
    <n v="75"/>
    <x v="3"/>
    <x v="1"/>
  </r>
  <r>
    <n v="173"/>
    <x v="0"/>
    <n v="36"/>
    <n v="87"/>
    <n v="10"/>
    <x v="2"/>
    <x v="3"/>
  </r>
  <r>
    <n v="174"/>
    <x v="0"/>
    <n v="36"/>
    <n v="87"/>
    <n v="92"/>
    <x v="3"/>
    <x v="3"/>
  </r>
  <r>
    <n v="175"/>
    <x v="1"/>
    <n v="52"/>
    <n v="88"/>
    <n v="13"/>
    <x v="2"/>
    <x v="4"/>
  </r>
  <r>
    <n v="176"/>
    <x v="1"/>
    <n v="30"/>
    <n v="88"/>
    <n v="86"/>
    <x v="3"/>
    <x v="1"/>
  </r>
  <r>
    <n v="177"/>
    <x v="0"/>
    <n v="58"/>
    <n v="88"/>
    <n v="15"/>
    <x v="2"/>
    <x v="2"/>
  </r>
  <r>
    <n v="178"/>
    <x v="0"/>
    <n v="27"/>
    <n v="88"/>
    <n v="69"/>
    <x v="2"/>
    <x v="1"/>
  </r>
  <r>
    <n v="179"/>
    <x v="0"/>
    <n v="59"/>
    <n v="93"/>
    <n v="14"/>
    <x v="2"/>
    <x v="2"/>
  </r>
  <r>
    <n v="180"/>
    <x v="0"/>
    <n v="35"/>
    <n v="93"/>
    <n v="90"/>
    <x v="3"/>
    <x v="1"/>
  </r>
  <r>
    <n v="181"/>
    <x v="1"/>
    <n v="37"/>
    <n v="97"/>
    <n v="32"/>
    <x v="2"/>
    <x v="3"/>
  </r>
  <r>
    <n v="182"/>
    <x v="1"/>
    <n v="32"/>
    <n v="97"/>
    <n v="86"/>
    <x v="3"/>
    <x v="1"/>
  </r>
  <r>
    <n v="183"/>
    <x v="0"/>
    <n v="46"/>
    <n v="98"/>
    <n v="15"/>
    <x v="2"/>
    <x v="4"/>
  </r>
  <r>
    <n v="184"/>
    <x v="1"/>
    <n v="29"/>
    <n v="98"/>
    <n v="88"/>
    <x v="3"/>
    <x v="1"/>
  </r>
  <r>
    <n v="185"/>
    <x v="1"/>
    <n v="41"/>
    <n v="99"/>
    <n v="39"/>
    <x v="2"/>
    <x v="3"/>
  </r>
  <r>
    <n v="186"/>
    <x v="0"/>
    <n v="30"/>
    <n v="99"/>
    <n v="97"/>
    <x v="3"/>
    <x v="1"/>
  </r>
  <r>
    <n v="187"/>
    <x v="1"/>
    <n v="54"/>
    <n v="101"/>
    <n v="24"/>
    <x v="2"/>
    <x v="4"/>
  </r>
  <r>
    <n v="188"/>
    <x v="0"/>
    <n v="28"/>
    <n v="101"/>
    <n v="68"/>
    <x v="2"/>
    <x v="1"/>
  </r>
  <r>
    <n v="189"/>
    <x v="1"/>
    <n v="41"/>
    <n v="103"/>
    <n v="17"/>
    <x v="2"/>
    <x v="3"/>
  </r>
  <r>
    <n v="190"/>
    <x v="1"/>
    <n v="36"/>
    <n v="103"/>
    <n v="85"/>
    <x v="3"/>
    <x v="3"/>
  </r>
  <r>
    <n v="191"/>
    <x v="1"/>
    <n v="34"/>
    <n v="103"/>
    <n v="23"/>
    <x v="2"/>
    <x v="1"/>
  </r>
  <r>
    <n v="192"/>
    <x v="1"/>
    <n v="32"/>
    <n v="103"/>
    <n v="69"/>
    <x v="2"/>
    <x v="1"/>
  </r>
  <r>
    <n v="193"/>
    <x v="0"/>
    <n v="33"/>
    <n v="113"/>
    <n v="8"/>
    <x v="2"/>
    <x v="1"/>
  </r>
  <r>
    <n v="194"/>
    <x v="1"/>
    <n v="38"/>
    <n v="113"/>
    <n v="91"/>
    <x v="3"/>
    <x v="3"/>
  </r>
  <r>
    <n v="195"/>
    <x v="1"/>
    <n v="47"/>
    <n v="120"/>
    <n v="16"/>
    <x v="2"/>
    <x v="4"/>
  </r>
  <r>
    <n v="196"/>
    <x v="1"/>
    <n v="35"/>
    <n v="120"/>
    <n v="79"/>
    <x v="3"/>
    <x v="1"/>
  </r>
  <r>
    <n v="197"/>
    <x v="1"/>
    <n v="45"/>
    <n v="126"/>
    <n v="28"/>
    <x v="2"/>
    <x v="3"/>
  </r>
  <r>
    <n v="198"/>
    <x v="0"/>
    <n v="32"/>
    <n v="126"/>
    <n v="74"/>
    <x v="3"/>
    <x v="1"/>
  </r>
  <r>
    <n v="199"/>
    <x v="0"/>
    <n v="32"/>
    <n v="137"/>
    <n v="18"/>
    <x v="2"/>
    <x v="1"/>
  </r>
  <r>
    <n v="200"/>
    <x v="0"/>
    <n v="30"/>
    <n v="137"/>
    <n v="8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79313-A98A-41FD-884E-DCA0745C56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R6:U11" firstHeaderRow="0" firstDataRow="1" firstDataCol="1"/>
  <pivotFields count="7">
    <pivotField showAll="0"/>
    <pivotField showAll="0">
      <items count="3">
        <item x="1"/>
        <item x="0"/>
        <item t="default"/>
      </items>
    </pivotField>
    <pivotField showAll="0"/>
    <pivotField dataField="1" showAll="0"/>
    <pivotField showAll="0"/>
    <pivotField axis="axisRow" dataField="1" showAll="0">
      <items count="5">
        <item x="3"/>
        <item x="1"/>
        <item x="0"/>
        <item x="2"/>
        <item t="default"/>
      </items>
    </pivotField>
    <pivotField showAll="0">
      <items count="6">
        <item x="0"/>
        <item x="1"/>
        <item x="3"/>
        <item x="4"/>
        <item x="2"/>
        <item t="default"/>
      </items>
    </pivotField>
  </pivotFields>
  <rowFields count="1">
    <field x="5"/>
  </rowFields>
  <rowItems count="5">
    <i>
      <x/>
    </i>
    <i>
      <x v="1"/>
    </i>
    <i>
      <x v="2"/>
    </i>
    <i>
      <x v="3"/>
    </i>
    <i t="grand">
      <x/>
    </i>
  </rowItems>
  <colFields count="1">
    <field x="-2"/>
  </colFields>
  <colItems count="3">
    <i>
      <x/>
    </i>
    <i i="1">
      <x v="1"/>
    </i>
    <i i="2">
      <x v="2"/>
    </i>
  </colItems>
  <dataFields count="3">
    <dataField name="Count " fld="5" subtotal="count" baseField="0" baseItem="0"/>
    <dataField name="%" fld="5" subtotal="count" showDataAs="percentOfTotal" baseField="5" baseItem="0" numFmtId="10"/>
    <dataField name="Sum of Annual Income (k$)" fld="3" baseField="0" baseItem="0"/>
  </dataFields>
  <formats count="2">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04F9B-56A2-4A6A-A63B-72F2FB41CC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A69:B74" firstHeaderRow="1" firstDataRow="1" firstDataCol="1"/>
  <pivotFields count="7">
    <pivotField showAll="0"/>
    <pivotField showAll="0">
      <items count="3">
        <item x="1"/>
        <item x="0"/>
        <item t="default"/>
      </items>
    </pivotField>
    <pivotField showAll="0"/>
    <pivotField dataField="1" showAll="0"/>
    <pivotField showAll="0"/>
    <pivotField axis="axisRow" showAll="0">
      <items count="5">
        <item x="3"/>
        <item x="1"/>
        <item x="0"/>
        <item x="2"/>
        <item t="default"/>
      </items>
    </pivotField>
    <pivotField showAll="0">
      <items count="6">
        <item x="0"/>
        <item x="1"/>
        <item x="3"/>
        <item x="4"/>
        <item x="2"/>
        <item t="default"/>
      </items>
    </pivotField>
  </pivotFields>
  <rowFields count="1">
    <field x="5"/>
  </rowFields>
  <rowItems count="5">
    <i>
      <x/>
    </i>
    <i>
      <x v="1"/>
    </i>
    <i>
      <x v="2"/>
    </i>
    <i>
      <x v="3"/>
    </i>
    <i t="grand">
      <x/>
    </i>
  </rowItems>
  <colItems count="1">
    <i/>
  </colItems>
  <dataFields count="1">
    <dataField name="Sum of Annual Income (k$)" fld="3" baseField="0" baseItem="0"/>
  </dataFields>
  <chartFormats count="5">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3"/>
          </reference>
        </references>
      </pivotArea>
    </chartFormat>
    <chartFormat chart="5" format="4">
      <pivotArea type="data" outline="0" fieldPosition="0">
        <references count="2">
          <reference field="4294967294" count="1" selected="0">
            <x v="0"/>
          </reference>
          <reference field="5" count="1" selected="0">
            <x v="1"/>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838BC8-62CB-4CD2-82B2-F1E8737E43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4:B40" firstHeaderRow="1" firstDataRow="1" firstDataCol="1"/>
  <pivotFields count="7">
    <pivotField showAll="0"/>
    <pivotField showAll="0">
      <items count="3">
        <item x="1"/>
        <item x="0"/>
        <item t="default"/>
      </items>
    </pivotField>
    <pivotField showAll="0"/>
    <pivotField showAll="0"/>
    <pivotField dataField="1" showAll="0"/>
    <pivotField showAll="0">
      <items count="5">
        <item x="3"/>
        <item x="1"/>
        <item x="0"/>
        <item x="2"/>
        <item t="default"/>
      </items>
    </pivotField>
    <pivotField axis="axisRow" showAll="0">
      <items count="6">
        <item x="0"/>
        <item x="1"/>
        <item x="3"/>
        <item x="4"/>
        <item x="2"/>
        <item t="default"/>
      </items>
    </pivotField>
  </pivotFields>
  <rowFields count="1">
    <field x="6"/>
  </rowFields>
  <rowItems count="6">
    <i>
      <x/>
    </i>
    <i>
      <x v="1"/>
    </i>
    <i>
      <x v="2"/>
    </i>
    <i>
      <x v="3"/>
    </i>
    <i>
      <x v="4"/>
    </i>
    <i t="grand">
      <x/>
    </i>
  </rowItems>
  <colItems count="1">
    <i/>
  </colItems>
  <dataFields count="1">
    <dataField name="Average of Spending Score (1-100)" fld="4" subtotal="average" baseField="6" baseItem="0"/>
  </dataFields>
  <formats count="1">
    <format dxfId="1">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69DEE4-0236-4911-879B-946F730FA4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1" firstHeaderRow="1" firstDataRow="1" firstDataCol="1"/>
  <pivotFields count="7">
    <pivotField showAll="0"/>
    <pivotField axis="axisRow" showAll="0">
      <items count="3">
        <item x="1"/>
        <item x="0"/>
        <item t="default"/>
      </items>
    </pivotField>
    <pivotField showAll="0"/>
    <pivotField showAll="0"/>
    <pivotField dataField="1" showAll="0"/>
    <pivotField showAll="0">
      <items count="5">
        <item x="3"/>
        <item x="1"/>
        <item x="0"/>
        <item x="2"/>
        <item t="default"/>
      </items>
    </pivotField>
    <pivotField showAll="0">
      <items count="6">
        <item x="0"/>
        <item x="1"/>
        <item x="3"/>
        <item x="4"/>
        <item x="2"/>
        <item t="default"/>
      </items>
    </pivotField>
  </pivotFields>
  <rowFields count="1">
    <field x="1"/>
  </rowFields>
  <rowItems count="3">
    <i>
      <x/>
    </i>
    <i>
      <x v="1"/>
    </i>
    <i t="grand">
      <x/>
    </i>
  </rowItems>
  <colItems count="1">
    <i/>
  </colItems>
  <dataFields count="1">
    <dataField name="Average of Spending Score (1-100)" fld="4" subtotal="average" baseField="1" baseItem="0"/>
  </dataFields>
  <formats count="1">
    <format dxfId="2">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EBD5E2-F67A-4F5F-940B-384D341A8B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7">
    <pivotField dataField="1" showAll="0"/>
    <pivotField showAll="0">
      <items count="3">
        <item x="1"/>
        <item x="0"/>
        <item t="default"/>
      </items>
    </pivotField>
    <pivotField showAll="0"/>
    <pivotField showAll="0"/>
    <pivotField showAll="0"/>
    <pivotField axis="axisRow" showAll="0">
      <items count="5">
        <item x="3"/>
        <item x="1"/>
        <item x="0"/>
        <item x="2"/>
        <item t="default"/>
      </items>
    </pivotField>
    <pivotField showAll="0">
      <items count="6">
        <item x="0"/>
        <item x="1"/>
        <item x="3"/>
        <item x="4"/>
        <item x="2"/>
        <item t="default"/>
      </items>
    </pivotField>
  </pivotFields>
  <rowFields count="1">
    <field x="5"/>
  </rowFields>
  <rowItems count="5">
    <i>
      <x/>
    </i>
    <i>
      <x v="1"/>
    </i>
    <i>
      <x v="2"/>
    </i>
    <i>
      <x v="3"/>
    </i>
    <i t="grand">
      <x/>
    </i>
  </rowItems>
  <colItems count="1">
    <i/>
  </colItems>
  <dataFields count="1">
    <dataField name="Count of CustomerID" fld="0" subtotal="count" baseField="5" baseItem="0"/>
  </dataFields>
  <chartFormats count="10">
    <chartFormat chart="3"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 chart="8" format="9">
      <pivotArea type="data" outline="0" fieldPosition="0">
        <references count="2">
          <reference field="4294967294" count="1" selected="0">
            <x v="0"/>
          </reference>
          <reference field="5" count="1" selected="0">
            <x v="2"/>
          </reference>
        </references>
      </pivotArea>
    </chartFormat>
    <chartFormat chart="8" format="10">
      <pivotArea type="data" outline="0" fieldPosition="0">
        <references count="2">
          <reference field="4294967294" count="1" selected="0">
            <x v="0"/>
          </reference>
          <reference field="5" count="1" selected="0">
            <x v="3"/>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22D3D8-F895-400F-A791-04AA4987BFAB}" sourceName="Gender">
  <pivotTables>
    <pivotTable tabId="3" name="PivotTable3"/>
    <pivotTable tabId="4" name="PivotTable11"/>
    <pivotTable tabId="3" name="PivotTable10"/>
    <pivotTable tabId="3" name="PivotTable2"/>
    <pivotTable tabId="3" name="PivotTable6"/>
  </pivotTables>
  <data>
    <tabular pivotCacheId="19464515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077894A-FC03-46A5-80A1-D259F667BB28}" sourceName="Customer Segment">
  <pivotTables>
    <pivotTable tabId="3" name="PivotTable3"/>
    <pivotTable tabId="4" name="PivotTable11"/>
    <pivotTable tabId="3" name="PivotTable10"/>
    <pivotTable tabId="3" name="PivotTable2"/>
    <pivotTable tabId="3" name="PivotTable6"/>
  </pivotTables>
  <data>
    <tabular pivotCacheId="194645158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7ED5DFA-FC82-4553-9814-540CCD25294F}" sourceName="Age Group">
  <pivotTables>
    <pivotTable tabId="3" name="PivotTable3"/>
    <pivotTable tabId="4" name="PivotTable11"/>
    <pivotTable tabId="3" name="PivotTable10"/>
    <pivotTable tabId="3" name="PivotTable2"/>
    <pivotTable tabId="3" name="PivotTable6"/>
  </pivotTables>
  <data>
    <tabular pivotCacheId="1946451588">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E7E6918-E7AF-48A7-A280-971AA7D7F5AA}" cache="Slicer_Gender" caption="Gender" rowHeight="234950"/>
  <slicer name="Customer Segment 1" xr10:uid="{78D661F8-97A5-4A9E-ADA4-D2F3118A71CF}" cache="Slicer_Customer_Segment" caption="Customer Segment" rowHeight="234950"/>
  <slicer name="Age Group 1" xr10:uid="{1DB92E0F-7CAE-4F37-8CA8-38CCD311493E}" cache="Slicer_Age_Group" caption="Ag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097D1C-4CB2-42C8-AC05-C3EB409EECDF}" cache="Slicer_Gender" caption="Gender" rowHeight="234950"/>
  <slicer name="Customer Segment" xr10:uid="{52FF5BE4-D700-442F-8BCE-4A7E1BD6BA40}" cache="Slicer_Customer_Segment" caption="Customer Segment" rowHeight="234950"/>
  <slicer name="Age Group" xr10:uid="{AC3EEB71-B176-4646-8475-6C7197E9EB53}"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D7BA1-7133-47DF-BDF7-0E226126FF12}">
  <dimension ref="A1:G201"/>
  <sheetViews>
    <sheetView tabSelected="1" topLeftCell="A175" workbookViewId="0">
      <selection activeCell="K8" sqref="K8"/>
    </sheetView>
  </sheetViews>
  <sheetFormatPr defaultRowHeight="14.4" x14ac:dyDescent="0.3"/>
  <cols>
    <col min="1" max="1" width="11" customWidth="1"/>
    <col min="5" max="5" width="18.88671875" customWidth="1"/>
    <col min="6" max="6" width="17.21875" customWidth="1"/>
    <col min="7" max="7" width="9.77734375" customWidth="1"/>
  </cols>
  <sheetData>
    <row r="1" spans="1:7" x14ac:dyDescent="0.3">
      <c r="A1" t="s">
        <v>0</v>
      </c>
      <c r="B1" t="s">
        <v>14</v>
      </c>
      <c r="C1" t="s">
        <v>1</v>
      </c>
      <c r="D1" t="s">
        <v>2</v>
      </c>
      <c r="E1" t="s">
        <v>3</v>
      </c>
      <c r="F1" t="s">
        <v>6</v>
      </c>
      <c r="G1" t="s">
        <v>18</v>
      </c>
    </row>
    <row r="2" spans="1:7" x14ac:dyDescent="0.3">
      <c r="A2">
        <v>1</v>
      </c>
      <c r="B2" t="s">
        <v>4</v>
      </c>
      <c r="C2">
        <v>19</v>
      </c>
      <c r="D2">
        <v>15</v>
      </c>
      <c r="E2">
        <v>39</v>
      </c>
      <c r="F2" t="str">
        <f>IF(AND(D2&gt;=70,E2&gt;=70),"High Value",
IF(AND(D2&gt;=70,E2&lt;70),"Potential",
IF(AND(D2&lt;70,E2&gt;=70),"Impulsive",
"Low Value")))</f>
        <v>Low Value</v>
      </c>
      <c r="G2" t="str">
        <f>IF(C2&lt;=25,"18-25",IF(C2&lt;=35,"26-35",IF(C2&lt;=45,"36-45",IF(C2&lt;=55,"46-55","56+"))))</f>
        <v>18-25</v>
      </c>
    </row>
    <row r="3" spans="1:7" x14ac:dyDescent="0.3">
      <c r="A3">
        <v>2</v>
      </c>
      <c r="B3" t="s">
        <v>4</v>
      </c>
      <c r="C3">
        <v>21</v>
      </c>
      <c r="D3">
        <v>15</v>
      </c>
      <c r="E3">
        <v>81</v>
      </c>
      <c r="F3" t="str">
        <f t="shared" ref="F3:F66" si="0">IF(AND(D3&gt;=70,E3&gt;=70),"High Value",
IF(AND(D3&gt;=70,E3&lt;70),"Potential",
IF(AND(D3&lt;70,E3&gt;=70),"Impulsive",
"Low Value")))</f>
        <v>Impulsive</v>
      </c>
      <c r="G3" t="str">
        <f t="shared" ref="G3:G66" si="1">IF(C3&lt;=25,"18-25",IF(C3&lt;=35,"26-35",IF(C3&lt;=45,"36-45",IF(C3&lt;=55,"46-55","56+"))))</f>
        <v>18-25</v>
      </c>
    </row>
    <row r="4" spans="1:7" x14ac:dyDescent="0.3">
      <c r="A4">
        <v>3</v>
      </c>
      <c r="B4" t="s">
        <v>5</v>
      </c>
      <c r="C4">
        <v>20</v>
      </c>
      <c r="D4">
        <v>16</v>
      </c>
      <c r="E4">
        <v>6</v>
      </c>
      <c r="F4" t="str">
        <f t="shared" si="0"/>
        <v>Low Value</v>
      </c>
      <c r="G4" t="str">
        <f t="shared" si="1"/>
        <v>18-25</v>
      </c>
    </row>
    <row r="5" spans="1:7" x14ac:dyDescent="0.3">
      <c r="A5">
        <v>4</v>
      </c>
      <c r="B5" t="s">
        <v>5</v>
      </c>
      <c r="C5">
        <v>23</v>
      </c>
      <c r="D5">
        <v>16</v>
      </c>
      <c r="E5">
        <v>77</v>
      </c>
      <c r="F5" t="str">
        <f t="shared" si="0"/>
        <v>Impulsive</v>
      </c>
      <c r="G5" t="str">
        <f t="shared" si="1"/>
        <v>18-25</v>
      </c>
    </row>
    <row r="6" spans="1:7" x14ac:dyDescent="0.3">
      <c r="A6">
        <v>5</v>
      </c>
      <c r="B6" t="s">
        <v>5</v>
      </c>
      <c r="C6">
        <v>31</v>
      </c>
      <c r="D6">
        <v>17</v>
      </c>
      <c r="E6">
        <v>40</v>
      </c>
      <c r="F6" t="str">
        <f t="shared" si="0"/>
        <v>Low Value</v>
      </c>
      <c r="G6" t="str">
        <f t="shared" si="1"/>
        <v>26-35</v>
      </c>
    </row>
    <row r="7" spans="1:7" x14ac:dyDescent="0.3">
      <c r="A7">
        <v>6</v>
      </c>
      <c r="B7" t="s">
        <v>5</v>
      </c>
      <c r="C7">
        <v>22</v>
      </c>
      <c r="D7">
        <v>17</v>
      </c>
      <c r="E7">
        <v>76</v>
      </c>
      <c r="F7" t="str">
        <f t="shared" si="0"/>
        <v>Impulsive</v>
      </c>
      <c r="G7" t="str">
        <f t="shared" si="1"/>
        <v>18-25</v>
      </c>
    </row>
    <row r="8" spans="1:7" x14ac:dyDescent="0.3">
      <c r="A8">
        <v>7</v>
      </c>
      <c r="B8" t="s">
        <v>5</v>
      </c>
      <c r="C8">
        <v>35</v>
      </c>
      <c r="D8">
        <v>18</v>
      </c>
      <c r="E8">
        <v>6</v>
      </c>
      <c r="F8" t="str">
        <f t="shared" si="0"/>
        <v>Low Value</v>
      </c>
      <c r="G8" t="str">
        <f t="shared" si="1"/>
        <v>26-35</v>
      </c>
    </row>
    <row r="9" spans="1:7" x14ac:dyDescent="0.3">
      <c r="A9">
        <v>8</v>
      </c>
      <c r="B9" t="s">
        <v>5</v>
      </c>
      <c r="C9">
        <v>23</v>
      </c>
      <c r="D9">
        <v>18</v>
      </c>
      <c r="E9">
        <v>94</v>
      </c>
      <c r="F9" t="str">
        <f t="shared" si="0"/>
        <v>Impulsive</v>
      </c>
      <c r="G9" t="str">
        <f t="shared" si="1"/>
        <v>18-25</v>
      </c>
    </row>
    <row r="10" spans="1:7" x14ac:dyDescent="0.3">
      <c r="A10">
        <v>9</v>
      </c>
      <c r="B10" t="s">
        <v>4</v>
      </c>
      <c r="C10">
        <v>64</v>
      </c>
      <c r="D10">
        <v>19</v>
      </c>
      <c r="E10">
        <v>3</v>
      </c>
      <c r="F10" t="str">
        <f t="shared" si="0"/>
        <v>Low Value</v>
      </c>
      <c r="G10" t="str">
        <f t="shared" si="1"/>
        <v>56+</v>
      </c>
    </row>
    <row r="11" spans="1:7" x14ac:dyDescent="0.3">
      <c r="A11">
        <v>10</v>
      </c>
      <c r="B11" t="s">
        <v>5</v>
      </c>
      <c r="C11">
        <v>30</v>
      </c>
      <c r="D11">
        <v>19</v>
      </c>
      <c r="E11">
        <v>72</v>
      </c>
      <c r="F11" t="str">
        <f t="shared" si="0"/>
        <v>Impulsive</v>
      </c>
      <c r="G11" t="str">
        <f t="shared" si="1"/>
        <v>26-35</v>
      </c>
    </row>
    <row r="12" spans="1:7" x14ac:dyDescent="0.3">
      <c r="A12">
        <v>11</v>
      </c>
      <c r="B12" t="s">
        <v>4</v>
      </c>
      <c r="C12">
        <v>67</v>
      </c>
      <c r="D12">
        <v>19</v>
      </c>
      <c r="E12">
        <v>14</v>
      </c>
      <c r="F12" t="str">
        <f t="shared" si="0"/>
        <v>Low Value</v>
      </c>
      <c r="G12" t="str">
        <f t="shared" si="1"/>
        <v>56+</v>
      </c>
    </row>
    <row r="13" spans="1:7" x14ac:dyDescent="0.3">
      <c r="A13">
        <v>12</v>
      </c>
      <c r="B13" t="s">
        <v>5</v>
      </c>
      <c r="C13">
        <v>35</v>
      </c>
      <c r="D13">
        <v>19</v>
      </c>
      <c r="E13">
        <v>99</v>
      </c>
      <c r="F13" t="str">
        <f t="shared" si="0"/>
        <v>Impulsive</v>
      </c>
      <c r="G13" t="str">
        <f t="shared" si="1"/>
        <v>26-35</v>
      </c>
    </row>
    <row r="14" spans="1:7" x14ac:dyDescent="0.3">
      <c r="A14">
        <v>13</v>
      </c>
      <c r="B14" t="s">
        <v>5</v>
      </c>
      <c r="C14">
        <v>58</v>
      </c>
      <c r="D14">
        <v>20</v>
      </c>
      <c r="E14">
        <v>15</v>
      </c>
      <c r="F14" t="str">
        <f t="shared" si="0"/>
        <v>Low Value</v>
      </c>
      <c r="G14" t="str">
        <f t="shared" si="1"/>
        <v>56+</v>
      </c>
    </row>
    <row r="15" spans="1:7" x14ac:dyDescent="0.3">
      <c r="A15">
        <v>14</v>
      </c>
      <c r="B15" t="s">
        <v>5</v>
      </c>
      <c r="C15">
        <v>24</v>
      </c>
      <c r="D15">
        <v>20</v>
      </c>
      <c r="E15">
        <v>77</v>
      </c>
      <c r="F15" t="str">
        <f t="shared" si="0"/>
        <v>Impulsive</v>
      </c>
      <c r="G15" t="str">
        <f t="shared" si="1"/>
        <v>18-25</v>
      </c>
    </row>
    <row r="16" spans="1:7" x14ac:dyDescent="0.3">
      <c r="A16">
        <v>15</v>
      </c>
      <c r="B16" t="s">
        <v>4</v>
      </c>
      <c r="C16">
        <v>37</v>
      </c>
      <c r="D16">
        <v>20</v>
      </c>
      <c r="E16">
        <v>13</v>
      </c>
      <c r="F16" t="str">
        <f t="shared" si="0"/>
        <v>Low Value</v>
      </c>
      <c r="G16" t="str">
        <f t="shared" si="1"/>
        <v>36-45</v>
      </c>
    </row>
    <row r="17" spans="1:7" x14ac:dyDescent="0.3">
      <c r="A17">
        <v>16</v>
      </c>
      <c r="B17" t="s">
        <v>4</v>
      </c>
      <c r="C17">
        <v>22</v>
      </c>
      <c r="D17">
        <v>20</v>
      </c>
      <c r="E17">
        <v>79</v>
      </c>
      <c r="F17" t="str">
        <f t="shared" si="0"/>
        <v>Impulsive</v>
      </c>
      <c r="G17" t="str">
        <f t="shared" si="1"/>
        <v>18-25</v>
      </c>
    </row>
    <row r="18" spans="1:7" x14ac:dyDescent="0.3">
      <c r="A18">
        <v>17</v>
      </c>
      <c r="B18" t="s">
        <v>5</v>
      </c>
      <c r="C18">
        <v>35</v>
      </c>
      <c r="D18">
        <v>21</v>
      </c>
      <c r="E18">
        <v>35</v>
      </c>
      <c r="F18" t="str">
        <f t="shared" si="0"/>
        <v>Low Value</v>
      </c>
      <c r="G18" t="str">
        <f t="shared" si="1"/>
        <v>26-35</v>
      </c>
    </row>
    <row r="19" spans="1:7" x14ac:dyDescent="0.3">
      <c r="A19">
        <v>18</v>
      </c>
      <c r="B19" t="s">
        <v>4</v>
      </c>
      <c r="C19">
        <v>20</v>
      </c>
      <c r="D19">
        <v>21</v>
      </c>
      <c r="E19">
        <v>66</v>
      </c>
      <c r="F19" t="str">
        <f t="shared" si="0"/>
        <v>Low Value</v>
      </c>
      <c r="G19" t="str">
        <f t="shared" si="1"/>
        <v>18-25</v>
      </c>
    </row>
    <row r="20" spans="1:7" x14ac:dyDescent="0.3">
      <c r="A20">
        <v>19</v>
      </c>
      <c r="B20" t="s">
        <v>4</v>
      </c>
      <c r="C20">
        <v>52</v>
      </c>
      <c r="D20">
        <v>23</v>
      </c>
      <c r="E20">
        <v>29</v>
      </c>
      <c r="F20" t="str">
        <f t="shared" si="0"/>
        <v>Low Value</v>
      </c>
      <c r="G20" t="str">
        <f t="shared" si="1"/>
        <v>46-55</v>
      </c>
    </row>
    <row r="21" spans="1:7" x14ac:dyDescent="0.3">
      <c r="A21">
        <v>20</v>
      </c>
      <c r="B21" t="s">
        <v>5</v>
      </c>
      <c r="C21">
        <v>35</v>
      </c>
      <c r="D21">
        <v>23</v>
      </c>
      <c r="E21">
        <v>98</v>
      </c>
      <c r="F21" t="str">
        <f t="shared" si="0"/>
        <v>Impulsive</v>
      </c>
      <c r="G21" t="str">
        <f t="shared" si="1"/>
        <v>26-35</v>
      </c>
    </row>
    <row r="22" spans="1:7" x14ac:dyDescent="0.3">
      <c r="A22">
        <v>21</v>
      </c>
      <c r="B22" t="s">
        <v>4</v>
      </c>
      <c r="C22">
        <v>35</v>
      </c>
      <c r="D22">
        <v>24</v>
      </c>
      <c r="E22">
        <v>35</v>
      </c>
      <c r="F22" t="str">
        <f t="shared" si="0"/>
        <v>Low Value</v>
      </c>
      <c r="G22" t="str">
        <f t="shared" si="1"/>
        <v>26-35</v>
      </c>
    </row>
    <row r="23" spans="1:7" x14ac:dyDescent="0.3">
      <c r="A23">
        <v>22</v>
      </c>
      <c r="B23" t="s">
        <v>4</v>
      </c>
      <c r="C23">
        <v>25</v>
      </c>
      <c r="D23">
        <v>24</v>
      </c>
      <c r="E23">
        <v>73</v>
      </c>
      <c r="F23" t="str">
        <f t="shared" si="0"/>
        <v>Impulsive</v>
      </c>
      <c r="G23" t="str">
        <f t="shared" si="1"/>
        <v>18-25</v>
      </c>
    </row>
    <row r="24" spans="1:7" x14ac:dyDescent="0.3">
      <c r="A24">
        <v>23</v>
      </c>
      <c r="B24" t="s">
        <v>5</v>
      </c>
      <c r="C24">
        <v>46</v>
      </c>
      <c r="D24">
        <v>25</v>
      </c>
      <c r="E24">
        <v>5</v>
      </c>
      <c r="F24" t="str">
        <f t="shared" si="0"/>
        <v>Low Value</v>
      </c>
      <c r="G24" t="str">
        <f t="shared" si="1"/>
        <v>46-55</v>
      </c>
    </row>
    <row r="25" spans="1:7" x14ac:dyDescent="0.3">
      <c r="A25">
        <v>24</v>
      </c>
      <c r="B25" t="s">
        <v>4</v>
      </c>
      <c r="C25">
        <v>31</v>
      </c>
      <c r="D25">
        <v>25</v>
      </c>
      <c r="E25">
        <v>73</v>
      </c>
      <c r="F25" t="str">
        <f t="shared" si="0"/>
        <v>Impulsive</v>
      </c>
      <c r="G25" t="str">
        <f t="shared" si="1"/>
        <v>26-35</v>
      </c>
    </row>
    <row r="26" spans="1:7" x14ac:dyDescent="0.3">
      <c r="A26">
        <v>25</v>
      </c>
      <c r="B26" t="s">
        <v>5</v>
      </c>
      <c r="C26">
        <v>54</v>
      </c>
      <c r="D26">
        <v>28</v>
      </c>
      <c r="E26">
        <v>14</v>
      </c>
      <c r="F26" t="str">
        <f t="shared" si="0"/>
        <v>Low Value</v>
      </c>
      <c r="G26" t="str">
        <f t="shared" si="1"/>
        <v>46-55</v>
      </c>
    </row>
    <row r="27" spans="1:7" x14ac:dyDescent="0.3">
      <c r="A27">
        <v>26</v>
      </c>
      <c r="B27" t="s">
        <v>4</v>
      </c>
      <c r="C27">
        <v>29</v>
      </c>
      <c r="D27">
        <v>28</v>
      </c>
      <c r="E27">
        <v>82</v>
      </c>
      <c r="F27" t="str">
        <f t="shared" si="0"/>
        <v>Impulsive</v>
      </c>
      <c r="G27" t="str">
        <f t="shared" si="1"/>
        <v>26-35</v>
      </c>
    </row>
    <row r="28" spans="1:7" x14ac:dyDescent="0.3">
      <c r="A28">
        <v>27</v>
      </c>
      <c r="B28" t="s">
        <v>5</v>
      </c>
      <c r="C28">
        <v>45</v>
      </c>
      <c r="D28">
        <v>28</v>
      </c>
      <c r="E28">
        <v>32</v>
      </c>
      <c r="F28" t="str">
        <f t="shared" si="0"/>
        <v>Low Value</v>
      </c>
      <c r="G28" t="str">
        <f t="shared" si="1"/>
        <v>36-45</v>
      </c>
    </row>
    <row r="29" spans="1:7" x14ac:dyDescent="0.3">
      <c r="A29">
        <v>28</v>
      </c>
      <c r="B29" t="s">
        <v>4</v>
      </c>
      <c r="C29">
        <v>35</v>
      </c>
      <c r="D29">
        <v>28</v>
      </c>
      <c r="E29">
        <v>61</v>
      </c>
      <c r="F29" t="str">
        <f t="shared" si="0"/>
        <v>Low Value</v>
      </c>
      <c r="G29" t="str">
        <f t="shared" si="1"/>
        <v>26-35</v>
      </c>
    </row>
    <row r="30" spans="1:7" x14ac:dyDescent="0.3">
      <c r="A30">
        <v>29</v>
      </c>
      <c r="B30" t="s">
        <v>5</v>
      </c>
      <c r="C30">
        <v>40</v>
      </c>
      <c r="D30">
        <v>29</v>
      </c>
      <c r="E30">
        <v>31</v>
      </c>
      <c r="F30" t="str">
        <f t="shared" si="0"/>
        <v>Low Value</v>
      </c>
      <c r="G30" t="str">
        <f t="shared" si="1"/>
        <v>36-45</v>
      </c>
    </row>
    <row r="31" spans="1:7" x14ac:dyDescent="0.3">
      <c r="A31">
        <v>30</v>
      </c>
      <c r="B31" t="s">
        <v>5</v>
      </c>
      <c r="C31">
        <v>23</v>
      </c>
      <c r="D31">
        <v>29</v>
      </c>
      <c r="E31">
        <v>87</v>
      </c>
      <c r="F31" t="str">
        <f t="shared" si="0"/>
        <v>Impulsive</v>
      </c>
      <c r="G31" t="str">
        <f t="shared" si="1"/>
        <v>18-25</v>
      </c>
    </row>
    <row r="32" spans="1:7" x14ac:dyDescent="0.3">
      <c r="A32">
        <v>31</v>
      </c>
      <c r="B32" t="s">
        <v>4</v>
      </c>
      <c r="C32">
        <v>60</v>
      </c>
      <c r="D32">
        <v>30</v>
      </c>
      <c r="E32">
        <v>4</v>
      </c>
      <c r="F32" t="str">
        <f t="shared" si="0"/>
        <v>Low Value</v>
      </c>
      <c r="G32" t="str">
        <f t="shared" si="1"/>
        <v>56+</v>
      </c>
    </row>
    <row r="33" spans="1:7" x14ac:dyDescent="0.3">
      <c r="A33">
        <v>32</v>
      </c>
      <c r="B33" t="s">
        <v>5</v>
      </c>
      <c r="C33">
        <v>21</v>
      </c>
      <c r="D33">
        <v>30</v>
      </c>
      <c r="E33">
        <v>73</v>
      </c>
      <c r="F33" t="str">
        <f t="shared" si="0"/>
        <v>Impulsive</v>
      </c>
      <c r="G33" t="str">
        <f t="shared" si="1"/>
        <v>18-25</v>
      </c>
    </row>
    <row r="34" spans="1:7" x14ac:dyDescent="0.3">
      <c r="A34">
        <v>33</v>
      </c>
      <c r="B34" t="s">
        <v>4</v>
      </c>
      <c r="C34">
        <v>53</v>
      </c>
      <c r="D34">
        <v>33</v>
      </c>
      <c r="E34">
        <v>4</v>
      </c>
      <c r="F34" t="str">
        <f t="shared" si="0"/>
        <v>Low Value</v>
      </c>
      <c r="G34" t="str">
        <f t="shared" si="1"/>
        <v>46-55</v>
      </c>
    </row>
    <row r="35" spans="1:7" x14ac:dyDescent="0.3">
      <c r="A35">
        <v>34</v>
      </c>
      <c r="B35" t="s">
        <v>4</v>
      </c>
      <c r="C35">
        <v>18</v>
      </c>
      <c r="D35">
        <v>33</v>
      </c>
      <c r="E35">
        <v>92</v>
      </c>
      <c r="F35" t="str">
        <f t="shared" si="0"/>
        <v>Impulsive</v>
      </c>
      <c r="G35" t="str">
        <f t="shared" si="1"/>
        <v>18-25</v>
      </c>
    </row>
    <row r="36" spans="1:7" x14ac:dyDescent="0.3">
      <c r="A36">
        <v>35</v>
      </c>
      <c r="B36" t="s">
        <v>5</v>
      </c>
      <c r="C36">
        <v>49</v>
      </c>
      <c r="D36">
        <v>33</v>
      </c>
      <c r="E36">
        <v>14</v>
      </c>
      <c r="F36" t="str">
        <f t="shared" si="0"/>
        <v>Low Value</v>
      </c>
      <c r="G36" t="str">
        <f t="shared" si="1"/>
        <v>46-55</v>
      </c>
    </row>
    <row r="37" spans="1:7" x14ac:dyDescent="0.3">
      <c r="A37">
        <v>36</v>
      </c>
      <c r="B37" t="s">
        <v>5</v>
      </c>
      <c r="C37">
        <v>21</v>
      </c>
      <c r="D37">
        <v>33</v>
      </c>
      <c r="E37">
        <v>81</v>
      </c>
      <c r="F37" t="str">
        <f t="shared" si="0"/>
        <v>Impulsive</v>
      </c>
      <c r="G37" t="str">
        <f t="shared" si="1"/>
        <v>18-25</v>
      </c>
    </row>
    <row r="38" spans="1:7" x14ac:dyDescent="0.3">
      <c r="A38">
        <v>37</v>
      </c>
      <c r="B38" t="s">
        <v>5</v>
      </c>
      <c r="C38">
        <v>42</v>
      </c>
      <c r="D38">
        <v>34</v>
      </c>
      <c r="E38">
        <v>17</v>
      </c>
      <c r="F38" t="str">
        <f t="shared" si="0"/>
        <v>Low Value</v>
      </c>
      <c r="G38" t="str">
        <f t="shared" si="1"/>
        <v>36-45</v>
      </c>
    </row>
    <row r="39" spans="1:7" x14ac:dyDescent="0.3">
      <c r="A39">
        <v>38</v>
      </c>
      <c r="B39" t="s">
        <v>5</v>
      </c>
      <c r="C39">
        <v>30</v>
      </c>
      <c r="D39">
        <v>34</v>
      </c>
      <c r="E39">
        <v>73</v>
      </c>
      <c r="F39" t="str">
        <f t="shared" si="0"/>
        <v>Impulsive</v>
      </c>
      <c r="G39" t="str">
        <f t="shared" si="1"/>
        <v>26-35</v>
      </c>
    </row>
    <row r="40" spans="1:7" x14ac:dyDescent="0.3">
      <c r="A40">
        <v>39</v>
      </c>
      <c r="B40" t="s">
        <v>5</v>
      </c>
      <c r="C40">
        <v>36</v>
      </c>
      <c r="D40">
        <v>37</v>
      </c>
      <c r="E40">
        <v>26</v>
      </c>
      <c r="F40" t="str">
        <f t="shared" si="0"/>
        <v>Low Value</v>
      </c>
      <c r="G40" t="str">
        <f t="shared" si="1"/>
        <v>36-45</v>
      </c>
    </row>
    <row r="41" spans="1:7" x14ac:dyDescent="0.3">
      <c r="A41">
        <v>40</v>
      </c>
      <c r="B41" t="s">
        <v>5</v>
      </c>
      <c r="C41">
        <v>20</v>
      </c>
      <c r="D41">
        <v>37</v>
      </c>
      <c r="E41">
        <v>75</v>
      </c>
      <c r="F41" t="str">
        <f t="shared" si="0"/>
        <v>Impulsive</v>
      </c>
      <c r="G41" t="str">
        <f t="shared" si="1"/>
        <v>18-25</v>
      </c>
    </row>
    <row r="42" spans="1:7" x14ac:dyDescent="0.3">
      <c r="A42">
        <v>41</v>
      </c>
      <c r="B42" t="s">
        <v>5</v>
      </c>
      <c r="C42">
        <v>65</v>
      </c>
      <c r="D42">
        <v>38</v>
      </c>
      <c r="E42">
        <v>35</v>
      </c>
      <c r="F42" t="str">
        <f t="shared" si="0"/>
        <v>Low Value</v>
      </c>
      <c r="G42" t="str">
        <f t="shared" si="1"/>
        <v>56+</v>
      </c>
    </row>
    <row r="43" spans="1:7" x14ac:dyDescent="0.3">
      <c r="A43">
        <v>42</v>
      </c>
      <c r="B43" t="s">
        <v>4</v>
      </c>
      <c r="C43">
        <v>24</v>
      </c>
      <c r="D43">
        <v>38</v>
      </c>
      <c r="E43">
        <v>92</v>
      </c>
      <c r="F43" t="str">
        <f t="shared" si="0"/>
        <v>Impulsive</v>
      </c>
      <c r="G43" t="str">
        <f t="shared" si="1"/>
        <v>18-25</v>
      </c>
    </row>
    <row r="44" spans="1:7" x14ac:dyDescent="0.3">
      <c r="A44">
        <v>43</v>
      </c>
      <c r="B44" t="s">
        <v>4</v>
      </c>
      <c r="C44">
        <v>48</v>
      </c>
      <c r="D44">
        <v>39</v>
      </c>
      <c r="E44">
        <v>36</v>
      </c>
      <c r="F44" t="str">
        <f t="shared" si="0"/>
        <v>Low Value</v>
      </c>
      <c r="G44" t="str">
        <f t="shared" si="1"/>
        <v>46-55</v>
      </c>
    </row>
    <row r="45" spans="1:7" x14ac:dyDescent="0.3">
      <c r="A45">
        <v>44</v>
      </c>
      <c r="B45" t="s">
        <v>5</v>
      </c>
      <c r="C45">
        <v>31</v>
      </c>
      <c r="D45">
        <v>39</v>
      </c>
      <c r="E45">
        <v>61</v>
      </c>
      <c r="F45" t="str">
        <f t="shared" si="0"/>
        <v>Low Value</v>
      </c>
      <c r="G45" t="str">
        <f t="shared" si="1"/>
        <v>26-35</v>
      </c>
    </row>
    <row r="46" spans="1:7" x14ac:dyDescent="0.3">
      <c r="A46">
        <v>45</v>
      </c>
      <c r="B46" t="s">
        <v>5</v>
      </c>
      <c r="C46">
        <v>49</v>
      </c>
      <c r="D46">
        <v>39</v>
      </c>
      <c r="E46">
        <v>28</v>
      </c>
      <c r="F46" t="str">
        <f t="shared" si="0"/>
        <v>Low Value</v>
      </c>
      <c r="G46" t="str">
        <f t="shared" si="1"/>
        <v>46-55</v>
      </c>
    </row>
    <row r="47" spans="1:7" x14ac:dyDescent="0.3">
      <c r="A47">
        <v>46</v>
      </c>
      <c r="B47" t="s">
        <v>5</v>
      </c>
      <c r="C47">
        <v>24</v>
      </c>
      <c r="D47">
        <v>39</v>
      </c>
      <c r="E47">
        <v>65</v>
      </c>
      <c r="F47" t="str">
        <f t="shared" si="0"/>
        <v>Low Value</v>
      </c>
      <c r="G47" t="str">
        <f t="shared" si="1"/>
        <v>18-25</v>
      </c>
    </row>
    <row r="48" spans="1:7" x14ac:dyDescent="0.3">
      <c r="A48">
        <v>47</v>
      </c>
      <c r="B48" t="s">
        <v>5</v>
      </c>
      <c r="C48">
        <v>50</v>
      </c>
      <c r="D48">
        <v>40</v>
      </c>
      <c r="E48">
        <v>55</v>
      </c>
      <c r="F48" t="str">
        <f t="shared" si="0"/>
        <v>Low Value</v>
      </c>
      <c r="G48" t="str">
        <f t="shared" si="1"/>
        <v>46-55</v>
      </c>
    </row>
    <row r="49" spans="1:7" x14ac:dyDescent="0.3">
      <c r="A49">
        <v>48</v>
      </c>
      <c r="B49" t="s">
        <v>5</v>
      </c>
      <c r="C49">
        <v>27</v>
      </c>
      <c r="D49">
        <v>40</v>
      </c>
      <c r="E49">
        <v>47</v>
      </c>
      <c r="F49" t="str">
        <f t="shared" si="0"/>
        <v>Low Value</v>
      </c>
      <c r="G49" t="str">
        <f t="shared" si="1"/>
        <v>26-35</v>
      </c>
    </row>
    <row r="50" spans="1:7" x14ac:dyDescent="0.3">
      <c r="A50">
        <v>49</v>
      </c>
      <c r="B50" t="s">
        <v>5</v>
      </c>
      <c r="C50">
        <v>29</v>
      </c>
      <c r="D50">
        <v>40</v>
      </c>
      <c r="E50">
        <v>42</v>
      </c>
      <c r="F50" t="str">
        <f t="shared" si="0"/>
        <v>Low Value</v>
      </c>
      <c r="G50" t="str">
        <f t="shared" si="1"/>
        <v>26-35</v>
      </c>
    </row>
    <row r="51" spans="1:7" x14ac:dyDescent="0.3">
      <c r="A51">
        <v>50</v>
      </c>
      <c r="B51" t="s">
        <v>5</v>
      </c>
      <c r="C51">
        <v>31</v>
      </c>
      <c r="D51">
        <v>40</v>
      </c>
      <c r="E51">
        <v>42</v>
      </c>
      <c r="F51" t="str">
        <f t="shared" si="0"/>
        <v>Low Value</v>
      </c>
      <c r="G51" t="str">
        <f t="shared" si="1"/>
        <v>26-35</v>
      </c>
    </row>
    <row r="52" spans="1:7" x14ac:dyDescent="0.3">
      <c r="A52">
        <v>51</v>
      </c>
      <c r="B52" t="s">
        <v>5</v>
      </c>
      <c r="C52">
        <v>49</v>
      </c>
      <c r="D52">
        <v>42</v>
      </c>
      <c r="E52">
        <v>52</v>
      </c>
      <c r="F52" t="str">
        <f t="shared" si="0"/>
        <v>Low Value</v>
      </c>
      <c r="G52" t="str">
        <f t="shared" si="1"/>
        <v>46-55</v>
      </c>
    </row>
    <row r="53" spans="1:7" x14ac:dyDescent="0.3">
      <c r="A53">
        <v>52</v>
      </c>
      <c r="B53" t="s">
        <v>4</v>
      </c>
      <c r="C53">
        <v>33</v>
      </c>
      <c r="D53">
        <v>42</v>
      </c>
      <c r="E53">
        <v>60</v>
      </c>
      <c r="F53" t="str">
        <f t="shared" si="0"/>
        <v>Low Value</v>
      </c>
      <c r="G53" t="str">
        <f t="shared" si="1"/>
        <v>26-35</v>
      </c>
    </row>
    <row r="54" spans="1:7" x14ac:dyDescent="0.3">
      <c r="A54">
        <v>53</v>
      </c>
      <c r="B54" t="s">
        <v>5</v>
      </c>
      <c r="C54">
        <v>31</v>
      </c>
      <c r="D54">
        <v>43</v>
      </c>
      <c r="E54">
        <v>54</v>
      </c>
      <c r="F54" t="str">
        <f t="shared" si="0"/>
        <v>Low Value</v>
      </c>
      <c r="G54" t="str">
        <f t="shared" si="1"/>
        <v>26-35</v>
      </c>
    </row>
    <row r="55" spans="1:7" x14ac:dyDescent="0.3">
      <c r="A55">
        <v>54</v>
      </c>
      <c r="B55" t="s">
        <v>4</v>
      </c>
      <c r="C55">
        <v>59</v>
      </c>
      <c r="D55">
        <v>43</v>
      </c>
      <c r="E55">
        <v>60</v>
      </c>
      <c r="F55" t="str">
        <f t="shared" si="0"/>
        <v>Low Value</v>
      </c>
      <c r="G55" t="str">
        <f t="shared" si="1"/>
        <v>56+</v>
      </c>
    </row>
    <row r="56" spans="1:7" x14ac:dyDescent="0.3">
      <c r="A56">
        <v>55</v>
      </c>
      <c r="B56" t="s">
        <v>5</v>
      </c>
      <c r="C56">
        <v>50</v>
      </c>
      <c r="D56">
        <v>43</v>
      </c>
      <c r="E56">
        <v>45</v>
      </c>
      <c r="F56" t="str">
        <f t="shared" si="0"/>
        <v>Low Value</v>
      </c>
      <c r="G56" t="str">
        <f t="shared" si="1"/>
        <v>46-55</v>
      </c>
    </row>
    <row r="57" spans="1:7" x14ac:dyDescent="0.3">
      <c r="A57">
        <v>56</v>
      </c>
      <c r="B57" t="s">
        <v>4</v>
      </c>
      <c r="C57">
        <v>47</v>
      </c>
      <c r="D57">
        <v>43</v>
      </c>
      <c r="E57">
        <v>41</v>
      </c>
      <c r="F57" t="str">
        <f t="shared" si="0"/>
        <v>Low Value</v>
      </c>
      <c r="G57" t="str">
        <f t="shared" si="1"/>
        <v>46-55</v>
      </c>
    </row>
    <row r="58" spans="1:7" x14ac:dyDescent="0.3">
      <c r="A58">
        <v>57</v>
      </c>
      <c r="B58" t="s">
        <v>5</v>
      </c>
      <c r="C58">
        <v>51</v>
      </c>
      <c r="D58">
        <v>44</v>
      </c>
      <c r="E58">
        <v>50</v>
      </c>
      <c r="F58" t="str">
        <f t="shared" si="0"/>
        <v>Low Value</v>
      </c>
      <c r="G58" t="str">
        <f t="shared" si="1"/>
        <v>46-55</v>
      </c>
    </row>
    <row r="59" spans="1:7" x14ac:dyDescent="0.3">
      <c r="A59">
        <v>58</v>
      </c>
      <c r="B59" t="s">
        <v>4</v>
      </c>
      <c r="C59">
        <v>69</v>
      </c>
      <c r="D59">
        <v>44</v>
      </c>
      <c r="E59">
        <v>46</v>
      </c>
      <c r="F59" t="str">
        <f t="shared" si="0"/>
        <v>Low Value</v>
      </c>
      <c r="G59" t="str">
        <f t="shared" si="1"/>
        <v>56+</v>
      </c>
    </row>
    <row r="60" spans="1:7" x14ac:dyDescent="0.3">
      <c r="A60">
        <v>59</v>
      </c>
      <c r="B60" t="s">
        <v>5</v>
      </c>
      <c r="C60">
        <v>27</v>
      </c>
      <c r="D60">
        <v>46</v>
      </c>
      <c r="E60">
        <v>51</v>
      </c>
      <c r="F60" t="str">
        <f t="shared" si="0"/>
        <v>Low Value</v>
      </c>
      <c r="G60" t="str">
        <f t="shared" si="1"/>
        <v>26-35</v>
      </c>
    </row>
    <row r="61" spans="1:7" x14ac:dyDescent="0.3">
      <c r="A61">
        <v>60</v>
      </c>
      <c r="B61" t="s">
        <v>4</v>
      </c>
      <c r="C61">
        <v>53</v>
      </c>
      <c r="D61">
        <v>46</v>
      </c>
      <c r="E61">
        <v>46</v>
      </c>
      <c r="F61" t="str">
        <f t="shared" si="0"/>
        <v>Low Value</v>
      </c>
      <c r="G61" t="str">
        <f t="shared" si="1"/>
        <v>46-55</v>
      </c>
    </row>
    <row r="62" spans="1:7" x14ac:dyDescent="0.3">
      <c r="A62">
        <v>61</v>
      </c>
      <c r="B62" t="s">
        <v>4</v>
      </c>
      <c r="C62">
        <v>70</v>
      </c>
      <c r="D62">
        <v>46</v>
      </c>
      <c r="E62">
        <v>56</v>
      </c>
      <c r="F62" t="str">
        <f t="shared" si="0"/>
        <v>Low Value</v>
      </c>
      <c r="G62" t="str">
        <f t="shared" si="1"/>
        <v>56+</v>
      </c>
    </row>
    <row r="63" spans="1:7" x14ac:dyDescent="0.3">
      <c r="A63">
        <v>62</v>
      </c>
      <c r="B63" t="s">
        <v>4</v>
      </c>
      <c r="C63">
        <v>19</v>
      </c>
      <c r="D63">
        <v>46</v>
      </c>
      <c r="E63">
        <v>55</v>
      </c>
      <c r="F63" t="str">
        <f t="shared" si="0"/>
        <v>Low Value</v>
      </c>
      <c r="G63" t="str">
        <f t="shared" si="1"/>
        <v>18-25</v>
      </c>
    </row>
    <row r="64" spans="1:7" x14ac:dyDescent="0.3">
      <c r="A64">
        <v>63</v>
      </c>
      <c r="B64" t="s">
        <v>5</v>
      </c>
      <c r="C64">
        <v>67</v>
      </c>
      <c r="D64">
        <v>47</v>
      </c>
      <c r="E64">
        <v>52</v>
      </c>
      <c r="F64" t="str">
        <f t="shared" si="0"/>
        <v>Low Value</v>
      </c>
      <c r="G64" t="str">
        <f t="shared" si="1"/>
        <v>56+</v>
      </c>
    </row>
    <row r="65" spans="1:7" x14ac:dyDescent="0.3">
      <c r="A65">
        <v>64</v>
      </c>
      <c r="B65" t="s">
        <v>5</v>
      </c>
      <c r="C65">
        <v>54</v>
      </c>
      <c r="D65">
        <v>47</v>
      </c>
      <c r="E65">
        <v>59</v>
      </c>
      <c r="F65" t="str">
        <f t="shared" si="0"/>
        <v>Low Value</v>
      </c>
      <c r="G65" t="str">
        <f t="shared" si="1"/>
        <v>46-55</v>
      </c>
    </row>
    <row r="66" spans="1:7" x14ac:dyDescent="0.3">
      <c r="A66">
        <v>65</v>
      </c>
      <c r="B66" t="s">
        <v>4</v>
      </c>
      <c r="C66">
        <v>63</v>
      </c>
      <c r="D66">
        <v>48</v>
      </c>
      <c r="E66">
        <v>51</v>
      </c>
      <c r="F66" t="str">
        <f t="shared" si="0"/>
        <v>Low Value</v>
      </c>
      <c r="G66" t="str">
        <f t="shared" si="1"/>
        <v>56+</v>
      </c>
    </row>
    <row r="67" spans="1:7" x14ac:dyDescent="0.3">
      <c r="A67">
        <v>66</v>
      </c>
      <c r="B67" t="s">
        <v>4</v>
      </c>
      <c r="C67">
        <v>18</v>
      </c>
      <c r="D67">
        <v>48</v>
      </c>
      <c r="E67">
        <v>59</v>
      </c>
      <c r="F67" t="str">
        <f t="shared" ref="F67:F130" si="2">IF(AND(D67&gt;=70,E67&gt;=70),"High Value",
IF(AND(D67&gt;=70,E67&lt;70),"Potential",
IF(AND(D67&lt;70,E67&gt;=70),"Impulsive",
"Low Value")))</f>
        <v>Low Value</v>
      </c>
      <c r="G67" t="str">
        <f t="shared" ref="G67:G130" si="3">IF(C67&lt;=25,"18-25",IF(C67&lt;=35,"26-35",IF(C67&lt;=45,"36-45",IF(C67&lt;=55,"46-55","56+"))))</f>
        <v>18-25</v>
      </c>
    </row>
    <row r="68" spans="1:7" x14ac:dyDescent="0.3">
      <c r="A68">
        <v>67</v>
      </c>
      <c r="B68" t="s">
        <v>5</v>
      </c>
      <c r="C68">
        <v>43</v>
      </c>
      <c r="D68">
        <v>48</v>
      </c>
      <c r="E68">
        <v>50</v>
      </c>
      <c r="F68" t="str">
        <f t="shared" si="2"/>
        <v>Low Value</v>
      </c>
      <c r="G68" t="str">
        <f t="shared" si="3"/>
        <v>36-45</v>
      </c>
    </row>
    <row r="69" spans="1:7" x14ac:dyDescent="0.3">
      <c r="A69">
        <v>68</v>
      </c>
      <c r="B69" t="s">
        <v>5</v>
      </c>
      <c r="C69">
        <v>68</v>
      </c>
      <c r="D69">
        <v>48</v>
      </c>
      <c r="E69">
        <v>48</v>
      </c>
      <c r="F69" t="str">
        <f t="shared" si="2"/>
        <v>Low Value</v>
      </c>
      <c r="G69" t="str">
        <f t="shared" si="3"/>
        <v>56+</v>
      </c>
    </row>
    <row r="70" spans="1:7" x14ac:dyDescent="0.3">
      <c r="A70">
        <v>69</v>
      </c>
      <c r="B70" t="s">
        <v>4</v>
      </c>
      <c r="C70">
        <v>19</v>
      </c>
      <c r="D70">
        <v>48</v>
      </c>
      <c r="E70">
        <v>59</v>
      </c>
      <c r="F70" t="str">
        <f t="shared" si="2"/>
        <v>Low Value</v>
      </c>
      <c r="G70" t="str">
        <f t="shared" si="3"/>
        <v>18-25</v>
      </c>
    </row>
    <row r="71" spans="1:7" x14ac:dyDescent="0.3">
      <c r="A71">
        <v>70</v>
      </c>
      <c r="B71" t="s">
        <v>5</v>
      </c>
      <c r="C71">
        <v>32</v>
      </c>
      <c r="D71">
        <v>48</v>
      </c>
      <c r="E71">
        <v>47</v>
      </c>
      <c r="F71" t="str">
        <f t="shared" si="2"/>
        <v>Low Value</v>
      </c>
      <c r="G71" t="str">
        <f t="shared" si="3"/>
        <v>26-35</v>
      </c>
    </row>
    <row r="72" spans="1:7" x14ac:dyDescent="0.3">
      <c r="A72">
        <v>71</v>
      </c>
      <c r="B72" t="s">
        <v>4</v>
      </c>
      <c r="C72">
        <v>70</v>
      </c>
      <c r="D72">
        <v>49</v>
      </c>
      <c r="E72">
        <v>55</v>
      </c>
      <c r="F72" t="str">
        <f t="shared" si="2"/>
        <v>Low Value</v>
      </c>
      <c r="G72" t="str">
        <f t="shared" si="3"/>
        <v>56+</v>
      </c>
    </row>
    <row r="73" spans="1:7" x14ac:dyDescent="0.3">
      <c r="A73">
        <v>72</v>
      </c>
      <c r="B73" t="s">
        <v>5</v>
      </c>
      <c r="C73">
        <v>47</v>
      </c>
      <c r="D73">
        <v>49</v>
      </c>
      <c r="E73">
        <v>42</v>
      </c>
      <c r="F73" t="str">
        <f t="shared" si="2"/>
        <v>Low Value</v>
      </c>
      <c r="G73" t="str">
        <f t="shared" si="3"/>
        <v>46-55</v>
      </c>
    </row>
    <row r="74" spans="1:7" x14ac:dyDescent="0.3">
      <c r="A74">
        <v>73</v>
      </c>
      <c r="B74" t="s">
        <v>5</v>
      </c>
      <c r="C74">
        <v>60</v>
      </c>
      <c r="D74">
        <v>50</v>
      </c>
      <c r="E74">
        <v>49</v>
      </c>
      <c r="F74" t="str">
        <f t="shared" si="2"/>
        <v>Low Value</v>
      </c>
      <c r="G74" t="str">
        <f t="shared" si="3"/>
        <v>56+</v>
      </c>
    </row>
    <row r="75" spans="1:7" x14ac:dyDescent="0.3">
      <c r="A75">
        <v>74</v>
      </c>
      <c r="B75" t="s">
        <v>5</v>
      </c>
      <c r="C75">
        <v>60</v>
      </c>
      <c r="D75">
        <v>50</v>
      </c>
      <c r="E75">
        <v>56</v>
      </c>
      <c r="F75" t="str">
        <f t="shared" si="2"/>
        <v>Low Value</v>
      </c>
      <c r="G75" t="str">
        <f t="shared" si="3"/>
        <v>56+</v>
      </c>
    </row>
    <row r="76" spans="1:7" x14ac:dyDescent="0.3">
      <c r="A76">
        <v>75</v>
      </c>
      <c r="B76" t="s">
        <v>4</v>
      </c>
      <c r="C76">
        <v>59</v>
      </c>
      <c r="D76">
        <v>54</v>
      </c>
      <c r="E76">
        <v>47</v>
      </c>
      <c r="F76" t="str">
        <f t="shared" si="2"/>
        <v>Low Value</v>
      </c>
      <c r="G76" t="str">
        <f t="shared" si="3"/>
        <v>56+</v>
      </c>
    </row>
    <row r="77" spans="1:7" x14ac:dyDescent="0.3">
      <c r="A77">
        <v>76</v>
      </c>
      <c r="B77" t="s">
        <v>4</v>
      </c>
      <c r="C77">
        <v>26</v>
      </c>
      <c r="D77">
        <v>54</v>
      </c>
      <c r="E77">
        <v>54</v>
      </c>
      <c r="F77" t="str">
        <f t="shared" si="2"/>
        <v>Low Value</v>
      </c>
      <c r="G77" t="str">
        <f t="shared" si="3"/>
        <v>26-35</v>
      </c>
    </row>
    <row r="78" spans="1:7" x14ac:dyDescent="0.3">
      <c r="A78">
        <v>77</v>
      </c>
      <c r="B78" t="s">
        <v>5</v>
      </c>
      <c r="C78">
        <v>45</v>
      </c>
      <c r="D78">
        <v>54</v>
      </c>
      <c r="E78">
        <v>53</v>
      </c>
      <c r="F78" t="str">
        <f t="shared" si="2"/>
        <v>Low Value</v>
      </c>
      <c r="G78" t="str">
        <f t="shared" si="3"/>
        <v>36-45</v>
      </c>
    </row>
    <row r="79" spans="1:7" x14ac:dyDescent="0.3">
      <c r="A79">
        <v>78</v>
      </c>
      <c r="B79" t="s">
        <v>4</v>
      </c>
      <c r="C79">
        <v>40</v>
      </c>
      <c r="D79">
        <v>54</v>
      </c>
      <c r="E79">
        <v>48</v>
      </c>
      <c r="F79" t="str">
        <f t="shared" si="2"/>
        <v>Low Value</v>
      </c>
      <c r="G79" t="str">
        <f t="shared" si="3"/>
        <v>36-45</v>
      </c>
    </row>
    <row r="80" spans="1:7" x14ac:dyDescent="0.3">
      <c r="A80">
        <v>79</v>
      </c>
      <c r="B80" t="s">
        <v>5</v>
      </c>
      <c r="C80">
        <v>23</v>
      </c>
      <c r="D80">
        <v>54</v>
      </c>
      <c r="E80">
        <v>52</v>
      </c>
      <c r="F80" t="str">
        <f t="shared" si="2"/>
        <v>Low Value</v>
      </c>
      <c r="G80" t="str">
        <f t="shared" si="3"/>
        <v>18-25</v>
      </c>
    </row>
    <row r="81" spans="1:7" x14ac:dyDescent="0.3">
      <c r="A81">
        <v>80</v>
      </c>
      <c r="B81" t="s">
        <v>5</v>
      </c>
      <c r="C81">
        <v>49</v>
      </c>
      <c r="D81">
        <v>54</v>
      </c>
      <c r="E81">
        <v>42</v>
      </c>
      <c r="F81" t="str">
        <f t="shared" si="2"/>
        <v>Low Value</v>
      </c>
      <c r="G81" t="str">
        <f t="shared" si="3"/>
        <v>46-55</v>
      </c>
    </row>
    <row r="82" spans="1:7" x14ac:dyDescent="0.3">
      <c r="A82">
        <v>81</v>
      </c>
      <c r="B82" t="s">
        <v>4</v>
      </c>
      <c r="C82">
        <v>57</v>
      </c>
      <c r="D82">
        <v>54</v>
      </c>
      <c r="E82">
        <v>51</v>
      </c>
      <c r="F82" t="str">
        <f t="shared" si="2"/>
        <v>Low Value</v>
      </c>
      <c r="G82" t="str">
        <f t="shared" si="3"/>
        <v>56+</v>
      </c>
    </row>
    <row r="83" spans="1:7" x14ac:dyDescent="0.3">
      <c r="A83">
        <v>82</v>
      </c>
      <c r="B83" t="s">
        <v>4</v>
      </c>
      <c r="C83">
        <v>38</v>
      </c>
      <c r="D83">
        <v>54</v>
      </c>
      <c r="E83">
        <v>55</v>
      </c>
      <c r="F83" t="str">
        <f t="shared" si="2"/>
        <v>Low Value</v>
      </c>
      <c r="G83" t="str">
        <f t="shared" si="3"/>
        <v>36-45</v>
      </c>
    </row>
    <row r="84" spans="1:7" x14ac:dyDescent="0.3">
      <c r="A84">
        <v>83</v>
      </c>
      <c r="B84" t="s">
        <v>4</v>
      </c>
      <c r="C84">
        <v>67</v>
      </c>
      <c r="D84">
        <v>54</v>
      </c>
      <c r="E84">
        <v>41</v>
      </c>
      <c r="F84" t="str">
        <f t="shared" si="2"/>
        <v>Low Value</v>
      </c>
      <c r="G84" t="str">
        <f t="shared" si="3"/>
        <v>56+</v>
      </c>
    </row>
    <row r="85" spans="1:7" x14ac:dyDescent="0.3">
      <c r="A85">
        <v>84</v>
      </c>
      <c r="B85" t="s">
        <v>5</v>
      </c>
      <c r="C85">
        <v>46</v>
      </c>
      <c r="D85">
        <v>54</v>
      </c>
      <c r="E85">
        <v>44</v>
      </c>
      <c r="F85" t="str">
        <f t="shared" si="2"/>
        <v>Low Value</v>
      </c>
      <c r="G85" t="str">
        <f t="shared" si="3"/>
        <v>46-55</v>
      </c>
    </row>
    <row r="86" spans="1:7" x14ac:dyDescent="0.3">
      <c r="A86">
        <v>85</v>
      </c>
      <c r="B86" t="s">
        <v>5</v>
      </c>
      <c r="C86">
        <v>21</v>
      </c>
      <c r="D86">
        <v>54</v>
      </c>
      <c r="E86">
        <v>57</v>
      </c>
      <c r="F86" t="str">
        <f t="shared" si="2"/>
        <v>Low Value</v>
      </c>
      <c r="G86" t="str">
        <f t="shared" si="3"/>
        <v>18-25</v>
      </c>
    </row>
    <row r="87" spans="1:7" x14ac:dyDescent="0.3">
      <c r="A87">
        <v>86</v>
      </c>
      <c r="B87" t="s">
        <v>4</v>
      </c>
      <c r="C87">
        <v>48</v>
      </c>
      <c r="D87">
        <v>54</v>
      </c>
      <c r="E87">
        <v>46</v>
      </c>
      <c r="F87" t="str">
        <f t="shared" si="2"/>
        <v>Low Value</v>
      </c>
      <c r="G87" t="str">
        <f t="shared" si="3"/>
        <v>46-55</v>
      </c>
    </row>
    <row r="88" spans="1:7" x14ac:dyDescent="0.3">
      <c r="A88">
        <v>87</v>
      </c>
      <c r="B88" t="s">
        <v>5</v>
      </c>
      <c r="C88">
        <v>55</v>
      </c>
      <c r="D88">
        <v>57</v>
      </c>
      <c r="E88">
        <v>58</v>
      </c>
      <c r="F88" t="str">
        <f t="shared" si="2"/>
        <v>Low Value</v>
      </c>
      <c r="G88" t="str">
        <f t="shared" si="3"/>
        <v>46-55</v>
      </c>
    </row>
    <row r="89" spans="1:7" x14ac:dyDescent="0.3">
      <c r="A89">
        <v>88</v>
      </c>
      <c r="B89" t="s">
        <v>5</v>
      </c>
      <c r="C89">
        <v>22</v>
      </c>
      <c r="D89">
        <v>57</v>
      </c>
      <c r="E89">
        <v>55</v>
      </c>
      <c r="F89" t="str">
        <f t="shared" si="2"/>
        <v>Low Value</v>
      </c>
      <c r="G89" t="str">
        <f t="shared" si="3"/>
        <v>18-25</v>
      </c>
    </row>
    <row r="90" spans="1:7" x14ac:dyDescent="0.3">
      <c r="A90">
        <v>89</v>
      </c>
      <c r="B90" t="s">
        <v>5</v>
      </c>
      <c r="C90">
        <v>34</v>
      </c>
      <c r="D90">
        <v>58</v>
      </c>
      <c r="E90">
        <v>60</v>
      </c>
      <c r="F90" t="str">
        <f t="shared" si="2"/>
        <v>Low Value</v>
      </c>
      <c r="G90" t="str">
        <f t="shared" si="3"/>
        <v>26-35</v>
      </c>
    </row>
    <row r="91" spans="1:7" x14ac:dyDescent="0.3">
      <c r="A91">
        <v>90</v>
      </c>
      <c r="B91" t="s">
        <v>5</v>
      </c>
      <c r="C91">
        <v>50</v>
      </c>
      <c r="D91">
        <v>58</v>
      </c>
      <c r="E91">
        <v>46</v>
      </c>
      <c r="F91" t="str">
        <f t="shared" si="2"/>
        <v>Low Value</v>
      </c>
      <c r="G91" t="str">
        <f t="shared" si="3"/>
        <v>46-55</v>
      </c>
    </row>
    <row r="92" spans="1:7" x14ac:dyDescent="0.3">
      <c r="A92">
        <v>91</v>
      </c>
      <c r="B92" t="s">
        <v>5</v>
      </c>
      <c r="C92">
        <v>68</v>
      </c>
      <c r="D92">
        <v>59</v>
      </c>
      <c r="E92">
        <v>55</v>
      </c>
      <c r="F92" t="str">
        <f t="shared" si="2"/>
        <v>Low Value</v>
      </c>
      <c r="G92" t="str">
        <f t="shared" si="3"/>
        <v>56+</v>
      </c>
    </row>
    <row r="93" spans="1:7" x14ac:dyDescent="0.3">
      <c r="A93">
        <v>92</v>
      </c>
      <c r="B93" t="s">
        <v>4</v>
      </c>
      <c r="C93">
        <v>18</v>
      </c>
      <c r="D93">
        <v>59</v>
      </c>
      <c r="E93">
        <v>41</v>
      </c>
      <c r="F93" t="str">
        <f t="shared" si="2"/>
        <v>Low Value</v>
      </c>
      <c r="G93" t="str">
        <f t="shared" si="3"/>
        <v>18-25</v>
      </c>
    </row>
    <row r="94" spans="1:7" x14ac:dyDescent="0.3">
      <c r="A94">
        <v>93</v>
      </c>
      <c r="B94" t="s">
        <v>4</v>
      </c>
      <c r="C94">
        <v>48</v>
      </c>
      <c r="D94">
        <v>60</v>
      </c>
      <c r="E94">
        <v>49</v>
      </c>
      <c r="F94" t="str">
        <f t="shared" si="2"/>
        <v>Low Value</v>
      </c>
      <c r="G94" t="str">
        <f t="shared" si="3"/>
        <v>46-55</v>
      </c>
    </row>
    <row r="95" spans="1:7" x14ac:dyDescent="0.3">
      <c r="A95">
        <v>94</v>
      </c>
      <c r="B95" t="s">
        <v>5</v>
      </c>
      <c r="C95">
        <v>40</v>
      </c>
      <c r="D95">
        <v>60</v>
      </c>
      <c r="E95">
        <v>40</v>
      </c>
      <c r="F95" t="str">
        <f t="shared" si="2"/>
        <v>Low Value</v>
      </c>
      <c r="G95" t="str">
        <f t="shared" si="3"/>
        <v>36-45</v>
      </c>
    </row>
    <row r="96" spans="1:7" x14ac:dyDescent="0.3">
      <c r="A96">
        <v>95</v>
      </c>
      <c r="B96" t="s">
        <v>5</v>
      </c>
      <c r="C96">
        <v>32</v>
      </c>
      <c r="D96">
        <v>60</v>
      </c>
      <c r="E96">
        <v>42</v>
      </c>
      <c r="F96" t="str">
        <f t="shared" si="2"/>
        <v>Low Value</v>
      </c>
      <c r="G96" t="str">
        <f t="shared" si="3"/>
        <v>26-35</v>
      </c>
    </row>
    <row r="97" spans="1:7" x14ac:dyDescent="0.3">
      <c r="A97">
        <v>96</v>
      </c>
      <c r="B97" t="s">
        <v>4</v>
      </c>
      <c r="C97">
        <v>24</v>
      </c>
      <c r="D97">
        <v>60</v>
      </c>
      <c r="E97">
        <v>52</v>
      </c>
      <c r="F97" t="str">
        <f t="shared" si="2"/>
        <v>Low Value</v>
      </c>
      <c r="G97" t="str">
        <f t="shared" si="3"/>
        <v>18-25</v>
      </c>
    </row>
    <row r="98" spans="1:7" x14ac:dyDescent="0.3">
      <c r="A98">
        <v>97</v>
      </c>
      <c r="B98" t="s">
        <v>5</v>
      </c>
      <c r="C98">
        <v>47</v>
      </c>
      <c r="D98">
        <v>60</v>
      </c>
      <c r="E98">
        <v>47</v>
      </c>
      <c r="F98" t="str">
        <f t="shared" si="2"/>
        <v>Low Value</v>
      </c>
      <c r="G98" t="str">
        <f t="shared" si="3"/>
        <v>46-55</v>
      </c>
    </row>
    <row r="99" spans="1:7" x14ac:dyDescent="0.3">
      <c r="A99">
        <v>98</v>
      </c>
      <c r="B99" t="s">
        <v>5</v>
      </c>
      <c r="C99">
        <v>27</v>
      </c>
      <c r="D99">
        <v>60</v>
      </c>
      <c r="E99">
        <v>50</v>
      </c>
      <c r="F99" t="str">
        <f t="shared" si="2"/>
        <v>Low Value</v>
      </c>
      <c r="G99" t="str">
        <f t="shared" si="3"/>
        <v>26-35</v>
      </c>
    </row>
    <row r="100" spans="1:7" x14ac:dyDescent="0.3">
      <c r="A100">
        <v>99</v>
      </c>
      <c r="B100" t="s">
        <v>4</v>
      </c>
      <c r="C100">
        <v>48</v>
      </c>
      <c r="D100">
        <v>61</v>
      </c>
      <c r="E100">
        <v>42</v>
      </c>
      <c r="F100" t="str">
        <f t="shared" si="2"/>
        <v>Low Value</v>
      </c>
      <c r="G100" t="str">
        <f t="shared" si="3"/>
        <v>46-55</v>
      </c>
    </row>
    <row r="101" spans="1:7" x14ac:dyDescent="0.3">
      <c r="A101">
        <v>100</v>
      </c>
      <c r="B101" t="s">
        <v>4</v>
      </c>
      <c r="C101">
        <v>20</v>
      </c>
      <c r="D101">
        <v>61</v>
      </c>
      <c r="E101">
        <v>49</v>
      </c>
      <c r="F101" t="str">
        <f t="shared" si="2"/>
        <v>Low Value</v>
      </c>
      <c r="G101" t="str">
        <f t="shared" si="3"/>
        <v>18-25</v>
      </c>
    </row>
    <row r="102" spans="1:7" x14ac:dyDescent="0.3">
      <c r="A102">
        <v>101</v>
      </c>
      <c r="B102" t="s">
        <v>5</v>
      </c>
      <c r="C102">
        <v>23</v>
      </c>
      <c r="D102">
        <v>62</v>
      </c>
      <c r="E102">
        <v>41</v>
      </c>
      <c r="F102" t="str">
        <f t="shared" si="2"/>
        <v>Low Value</v>
      </c>
      <c r="G102" t="str">
        <f t="shared" si="3"/>
        <v>18-25</v>
      </c>
    </row>
    <row r="103" spans="1:7" x14ac:dyDescent="0.3">
      <c r="A103">
        <v>102</v>
      </c>
      <c r="B103" t="s">
        <v>5</v>
      </c>
      <c r="C103">
        <v>49</v>
      </c>
      <c r="D103">
        <v>62</v>
      </c>
      <c r="E103">
        <v>48</v>
      </c>
      <c r="F103" t="str">
        <f t="shared" si="2"/>
        <v>Low Value</v>
      </c>
      <c r="G103" t="str">
        <f t="shared" si="3"/>
        <v>46-55</v>
      </c>
    </row>
    <row r="104" spans="1:7" x14ac:dyDescent="0.3">
      <c r="A104">
        <v>103</v>
      </c>
      <c r="B104" t="s">
        <v>4</v>
      </c>
      <c r="C104">
        <v>67</v>
      </c>
      <c r="D104">
        <v>62</v>
      </c>
      <c r="E104">
        <v>59</v>
      </c>
      <c r="F104" t="str">
        <f t="shared" si="2"/>
        <v>Low Value</v>
      </c>
      <c r="G104" t="str">
        <f t="shared" si="3"/>
        <v>56+</v>
      </c>
    </row>
    <row r="105" spans="1:7" x14ac:dyDescent="0.3">
      <c r="A105">
        <v>104</v>
      </c>
      <c r="B105" t="s">
        <v>4</v>
      </c>
      <c r="C105">
        <v>26</v>
      </c>
      <c r="D105">
        <v>62</v>
      </c>
      <c r="E105">
        <v>55</v>
      </c>
      <c r="F105" t="str">
        <f t="shared" si="2"/>
        <v>Low Value</v>
      </c>
      <c r="G105" t="str">
        <f t="shared" si="3"/>
        <v>26-35</v>
      </c>
    </row>
    <row r="106" spans="1:7" x14ac:dyDescent="0.3">
      <c r="A106">
        <v>105</v>
      </c>
      <c r="B106" t="s">
        <v>4</v>
      </c>
      <c r="C106">
        <v>49</v>
      </c>
      <c r="D106">
        <v>62</v>
      </c>
      <c r="E106">
        <v>56</v>
      </c>
      <c r="F106" t="str">
        <f t="shared" si="2"/>
        <v>Low Value</v>
      </c>
      <c r="G106" t="str">
        <f t="shared" si="3"/>
        <v>46-55</v>
      </c>
    </row>
    <row r="107" spans="1:7" x14ac:dyDescent="0.3">
      <c r="A107">
        <v>106</v>
      </c>
      <c r="B107" t="s">
        <v>5</v>
      </c>
      <c r="C107">
        <v>21</v>
      </c>
      <c r="D107">
        <v>62</v>
      </c>
      <c r="E107">
        <v>42</v>
      </c>
      <c r="F107" t="str">
        <f t="shared" si="2"/>
        <v>Low Value</v>
      </c>
      <c r="G107" t="str">
        <f t="shared" si="3"/>
        <v>18-25</v>
      </c>
    </row>
    <row r="108" spans="1:7" x14ac:dyDescent="0.3">
      <c r="A108">
        <v>107</v>
      </c>
      <c r="B108" t="s">
        <v>5</v>
      </c>
      <c r="C108">
        <v>66</v>
      </c>
      <c r="D108">
        <v>63</v>
      </c>
      <c r="E108">
        <v>50</v>
      </c>
      <c r="F108" t="str">
        <f t="shared" si="2"/>
        <v>Low Value</v>
      </c>
      <c r="G108" t="str">
        <f t="shared" si="3"/>
        <v>56+</v>
      </c>
    </row>
    <row r="109" spans="1:7" x14ac:dyDescent="0.3">
      <c r="A109">
        <v>108</v>
      </c>
      <c r="B109" t="s">
        <v>4</v>
      </c>
      <c r="C109">
        <v>54</v>
      </c>
      <c r="D109">
        <v>63</v>
      </c>
      <c r="E109">
        <v>46</v>
      </c>
      <c r="F109" t="str">
        <f t="shared" si="2"/>
        <v>Low Value</v>
      </c>
      <c r="G109" t="str">
        <f t="shared" si="3"/>
        <v>46-55</v>
      </c>
    </row>
    <row r="110" spans="1:7" x14ac:dyDescent="0.3">
      <c r="A110">
        <v>109</v>
      </c>
      <c r="B110" t="s">
        <v>4</v>
      </c>
      <c r="C110">
        <v>68</v>
      </c>
      <c r="D110">
        <v>63</v>
      </c>
      <c r="E110">
        <v>43</v>
      </c>
      <c r="F110" t="str">
        <f t="shared" si="2"/>
        <v>Low Value</v>
      </c>
      <c r="G110" t="str">
        <f t="shared" si="3"/>
        <v>56+</v>
      </c>
    </row>
    <row r="111" spans="1:7" x14ac:dyDescent="0.3">
      <c r="A111">
        <v>110</v>
      </c>
      <c r="B111" t="s">
        <v>4</v>
      </c>
      <c r="C111">
        <v>66</v>
      </c>
      <c r="D111">
        <v>63</v>
      </c>
      <c r="E111">
        <v>48</v>
      </c>
      <c r="F111" t="str">
        <f t="shared" si="2"/>
        <v>Low Value</v>
      </c>
      <c r="G111" t="str">
        <f t="shared" si="3"/>
        <v>56+</v>
      </c>
    </row>
    <row r="112" spans="1:7" x14ac:dyDescent="0.3">
      <c r="A112">
        <v>111</v>
      </c>
      <c r="B112" t="s">
        <v>4</v>
      </c>
      <c r="C112">
        <v>65</v>
      </c>
      <c r="D112">
        <v>63</v>
      </c>
      <c r="E112">
        <v>52</v>
      </c>
      <c r="F112" t="str">
        <f t="shared" si="2"/>
        <v>Low Value</v>
      </c>
      <c r="G112" t="str">
        <f t="shared" si="3"/>
        <v>56+</v>
      </c>
    </row>
    <row r="113" spans="1:7" x14ac:dyDescent="0.3">
      <c r="A113">
        <v>112</v>
      </c>
      <c r="B113" t="s">
        <v>5</v>
      </c>
      <c r="C113">
        <v>19</v>
      </c>
      <c r="D113">
        <v>63</v>
      </c>
      <c r="E113">
        <v>54</v>
      </c>
      <c r="F113" t="str">
        <f t="shared" si="2"/>
        <v>Low Value</v>
      </c>
      <c r="G113" t="str">
        <f t="shared" si="3"/>
        <v>18-25</v>
      </c>
    </row>
    <row r="114" spans="1:7" x14ac:dyDescent="0.3">
      <c r="A114">
        <v>113</v>
      </c>
      <c r="B114" t="s">
        <v>5</v>
      </c>
      <c r="C114">
        <v>38</v>
      </c>
      <c r="D114">
        <v>64</v>
      </c>
      <c r="E114">
        <v>42</v>
      </c>
      <c r="F114" t="str">
        <f t="shared" si="2"/>
        <v>Low Value</v>
      </c>
      <c r="G114" t="str">
        <f t="shared" si="3"/>
        <v>36-45</v>
      </c>
    </row>
    <row r="115" spans="1:7" x14ac:dyDescent="0.3">
      <c r="A115">
        <v>114</v>
      </c>
      <c r="B115" t="s">
        <v>4</v>
      </c>
      <c r="C115">
        <v>19</v>
      </c>
      <c r="D115">
        <v>64</v>
      </c>
      <c r="E115">
        <v>46</v>
      </c>
      <c r="F115" t="str">
        <f t="shared" si="2"/>
        <v>Low Value</v>
      </c>
      <c r="G115" t="str">
        <f t="shared" si="3"/>
        <v>18-25</v>
      </c>
    </row>
    <row r="116" spans="1:7" x14ac:dyDescent="0.3">
      <c r="A116">
        <v>115</v>
      </c>
      <c r="B116" t="s">
        <v>5</v>
      </c>
      <c r="C116">
        <v>18</v>
      </c>
      <c r="D116">
        <v>65</v>
      </c>
      <c r="E116">
        <v>48</v>
      </c>
      <c r="F116" t="str">
        <f t="shared" si="2"/>
        <v>Low Value</v>
      </c>
      <c r="G116" t="str">
        <f t="shared" si="3"/>
        <v>18-25</v>
      </c>
    </row>
    <row r="117" spans="1:7" x14ac:dyDescent="0.3">
      <c r="A117">
        <v>116</v>
      </c>
      <c r="B117" t="s">
        <v>5</v>
      </c>
      <c r="C117">
        <v>19</v>
      </c>
      <c r="D117">
        <v>65</v>
      </c>
      <c r="E117">
        <v>50</v>
      </c>
      <c r="F117" t="str">
        <f t="shared" si="2"/>
        <v>Low Value</v>
      </c>
      <c r="G117" t="str">
        <f t="shared" si="3"/>
        <v>18-25</v>
      </c>
    </row>
    <row r="118" spans="1:7" x14ac:dyDescent="0.3">
      <c r="A118">
        <v>117</v>
      </c>
      <c r="B118" t="s">
        <v>5</v>
      </c>
      <c r="C118">
        <v>63</v>
      </c>
      <c r="D118">
        <v>65</v>
      </c>
      <c r="E118">
        <v>43</v>
      </c>
      <c r="F118" t="str">
        <f t="shared" si="2"/>
        <v>Low Value</v>
      </c>
      <c r="G118" t="str">
        <f t="shared" si="3"/>
        <v>56+</v>
      </c>
    </row>
    <row r="119" spans="1:7" x14ac:dyDescent="0.3">
      <c r="A119">
        <v>118</v>
      </c>
      <c r="B119" t="s">
        <v>5</v>
      </c>
      <c r="C119">
        <v>49</v>
      </c>
      <c r="D119">
        <v>65</v>
      </c>
      <c r="E119">
        <v>59</v>
      </c>
      <c r="F119" t="str">
        <f t="shared" si="2"/>
        <v>Low Value</v>
      </c>
      <c r="G119" t="str">
        <f t="shared" si="3"/>
        <v>46-55</v>
      </c>
    </row>
    <row r="120" spans="1:7" x14ac:dyDescent="0.3">
      <c r="A120">
        <v>119</v>
      </c>
      <c r="B120" t="s">
        <v>5</v>
      </c>
      <c r="C120">
        <v>51</v>
      </c>
      <c r="D120">
        <v>67</v>
      </c>
      <c r="E120">
        <v>43</v>
      </c>
      <c r="F120" t="str">
        <f t="shared" si="2"/>
        <v>Low Value</v>
      </c>
      <c r="G120" t="str">
        <f t="shared" si="3"/>
        <v>46-55</v>
      </c>
    </row>
    <row r="121" spans="1:7" x14ac:dyDescent="0.3">
      <c r="A121">
        <v>120</v>
      </c>
      <c r="B121" t="s">
        <v>5</v>
      </c>
      <c r="C121">
        <v>50</v>
      </c>
      <c r="D121">
        <v>67</v>
      </c>
      <c r="E121">
        <v>57</v>
      </c>
      <c r="F121" t="str">
        <f t="shared" si="2"/>
        <v>Low Value</v>
      </c>
      <c r="G121" t="str">
        <f t="shared" si="3"/>
        <v>46-55</v>
      </c>
    </row>
    <row r="122" spans="1:7" x14ac:dyDescent="0.3">
      <c r="A122">
        <v>121</v>
      </c>
      <c r="B122" t="s">
        <v>4</v>
      </c>
      <c r="C122">
        <v>27</v>
      </c>
      <c r="D122">
        <v>67</v>
      </c>
      <c r="E122">
        <v>56</v>
      </c>
      <c r="F122" t="str">
        <f t="shared" si="2"/>
        <v>Low Value</v>
      </c>
      <c r="G122" t="str">
        <f t="shared" si="3"/>
        <v>26-35</v>
      </c>
    </row>
    <row r="123" spans="1:7" x14ac:dyDescent="0.3">
      <c r="A123">
        <v>122</v>
      </c>
      <c r="B123" t="s">
        <v>5</v>
      </c>
      <c r="C123">
        <v>38</v>
      </c>
      <c r="D123">
        <v>67</v>
      </c>
      <c r="E123">
        <v>40</v>
      </c>
      <c r="F123" t="str">
        <f t="shared" si="2"/>
        <v>Low Value</v>
      </c>
      <c r="G123" t="str">
        <f t="shared" si="3"/>
        <v>36-45</v>
      </c>
    </row>
    <row r="124" spans="1:7" x14ac:dyDescent="0.3">
      <c r="A124">
        <v>123</v>
      </c>
      <c r="B124" t="s">
        <v>5</v>
      </c>
      <c r="C124">
        <v>40</v>
      </c>
      <c r="D124">
        <v>69</v>
      </c>
      <c r="E124">
        <v>58</v>
      </c>
      <c r="F124" t="str">
        <f t="shared" si="2"/>
        <v>Low Value</v>
      </c>
      <c r="G124" t="str">
        <f t="shared" si="3"/>
        <v>36-45</v>
      </c>
    </row>
    <row r="125" spans="1:7" x14ac:dyDescent="0.3">
      <c r="A125">
        <v>124</v>
      </c>
      <c r="B125" t="s">
        <v>4</v>
      </c>
      <c r="C125">
        <v>39</v>
      </c>
      <c r="D125">
        <v>69</v>
      </c>
      <c r="E125">
        <v>91</v>
      </c>
      <c r="F125" t="str">
        <f t="shared" si="2"/>
        <v>Impulsive</v>
      </c>
      <c r="G125" t="str">
        <f t="shared" si="3"/>
        <v>36-45</v>
      </c>
    </row>
    <row r="126" spans="1:7" x14ac:dyDescent="0.3">
      <c r="A126">
        <v>125</v>
      </c>
      <c r="B126" t="s">
        <v>5</v>
      </c>
      <c r="C126">
        <v>23</v>
      </c>
      <c r="D126">
        <v>70</v>
      </c>
      <c r="E126">
        <v>29</v>
      </c>
      <c r="F126" t="str">
        <f t="shared" si="2"/>
        <v>Potential</v>
      </c>
      <c r="G126" t="str">
        <f t="shared" si="3"/>
        <v>18-25</v>
      </c>
    </row>
    <row r="127" spans="1:7" x14ac:dyDescent="0.3">
      <c r="A127">
        <v>126</v>
      </c>
      <c r="B127" t="s">
        <v>5</v>
      </c>
      <c r="C127">
        <v>31</v>
      </c>
      <c r="D127">
        <v>70</v>
      </c>
      <c r="E127">
        <v>77</v>
      </c>
      <c r="F127" t="str">
        <f t="shared" si="2"/>
        <v>High Value</v>
      </c>
      <c r="G127" t="str">
        <f t="shared" si="3"/>
        <v>26-35</v>
      </c>
    </row>
    <row r="128" spans="1:7" x14ac:dyDescent="0.3">
      <c r="A128">
        <v>127</v>
      </c>
      <c r="B128" t="s">
        <v>4</v>
      </c>
      <c r="C128">
        <v>43</v>
      </c>
      <c r="D128">
        <v>71</v>
      </c>
      <c r="E128">
        <v>35</v>
      </c>
      <c r="F128" t="str">
        <f t="shared" si="2"/>
        <v>Potential</v>
      </c>
      <c r="G128" t="str">
        <f t="shared" si="3"/>
        <v>36-45</v>
      </c>
    </row>
    <row r="129" spans="1:7" x14ac:dyDescent="0.3">
      <c r="A129">
        <v>128</v>
      </c>
      <c r="B129" t="s">
        <v>4</v>
      </c>
      <c r="C129">
        <v>40</v>
      </c>
      <c r="D129">
        <v>71</v>
      </c>
      <c r="E129">
        <v>95</v>
      </c>
      <c r="F129" t="str">
        <f t="shared" si="2"/>
        <v>High Value</v>
      </c>
      <c r="G129" t="str">
        <f t="shared" si="3"/>
        <v>36-45</v>
      </c>
    </row>
    <row r="130" spans="1:7" x14ac:dyDescent="0.3">
      <c r="A130">
        <v>129</v>
      </c>
      <c r="B130" t="s">
        <v>4</v>
      </c>
      <c r="C130">
        <v>59</v>
      </c>
      <c r="D130">
        <v>71</v>
      </c>
      <c r="E130">
        <v>11</v>
      </c>
      <c r="F130" t="str">
        <f t="shared" si="2"/>
        <v>Potential</v>
      </c>
      <c r="G130" t="str">
        <f t="shared" si="3"/>
        <v>56+</v>
      </c>
    </row>
    <row r="131" spans="1:7" x14ac:dyDescent="0.3">
      <c r="A131">
        <v>130</v>
      </c>
      <c r="B131" t="s">
        <v>4</v>
      </c>
      <c r="C131">
        <v>38</v>
      </c>
      <c r="D131">
        <v>71</v>
      </c>
      <c r="E131">
        <v>75</v>
      </c>
      <c r="F131" t="str">
        <f t="shared" ref="F131:F194" si="4">IF(AND(D131&gt;=70,E131&gt;=70),"High Value",
IF(AND(D131&gt;=70,E131&lt;70),"Potential",
IF(AND(D131&lt;70,E131&gt;=70),"Impulsive",
"Low Value")))</f>
        <v>High Value</v>
      </c>
      <c r="G131" t="str">
        <f t="shared" ref="G131:G194" si="5">IF(C131&lt;=25,"18-25",IF(C131&lt;=35,"26-35",IF(C131&lt;=45,"36-45",IF(C131&lt;=55,"46-55","56+"))))</f>
        <v>36-45</v>
      </c>
    </row>
    <row r="132" spans="1:7" x14ac:dyDescent="0.3">
      <c r="A132">
        <v>131</v>
      </c>
      <c r="B132" t="s">
        <v>4</v>
      </c>
      <c r="C132">
        <v>47</v>
      </c>
      <c r="D132">
        <v>71</v>
      </c>
      <c r="E132">
        <v>9</v>
      </c>
      <c r="F132" t="str">
        <f t="shared" si="4"/>
        <v>Potential</v>
      </c>
      <c r="G132" t="str">
        <f t="shared" si="5"/>
        <v>46-55</v>
      </c>
    </row>
    <row r="133" spans="1:7" x14ac:dyDescent="0.3">
      <c r="A133">
        <v>132</v>
      </c>
      <c r="B133" t="s">
        <v>4</v>
      </c>
      <c r="C133">
        <v>39</v>
      </c>
      <c r="D133">
        <v>71</v>
      </c>
      <c r="E133">
        <v>75</v>
      </c>
      <c r="F133" t="str">
        <f t="shared" si="4"/>
        <v>High Value</v>
      </c>
      <c r="G133" t="str">
        <f t="shared" si="5"/>
        <v>36-45</v>
      </c>
    </row>
    <row r="134" spans="1:7" x14ac:dyDescent="0.3">
      <c r="A134">
        <v>133</v>
      </c>
      <c r="B134" t="s">
        <v>5</v>
      </c>
      <c r="C134">
        <v>25</v>
      </c>
      <c r="D134">
        <v>72</v>
      </c>
      <c r="E134">
        <v>34</v>
      </c>
      <c r="F134" t="str">
        <f t="shared" si="4"/>
        <v>Potential</v>
      </c>
      <c r="G134" t="str">
        <f t="shared" si="5"/>
        <v>18-25</v>
      </c>
    </row>
    <row r="135" spans="1:7" x14ac:dyDescent="0.3">
      <c r="A135">
        <v>134</v>
      </c>
      <c r="B135" t="s">
        <v>5</v>
      </c>
      <c r="C135">
        <v>31</v>
      </c>
      <c r="D135">
        <v>72</v>
      </c>
      <c r="E135">
        <v>71</v>
      </c>
      <c r="F135" t="str">
        <f t="shared" si="4"/>
        <v>High Value</v>
      </c>
      <c r="G135" t="str">
        <f t="shared" si="5"/>
        <v>26-35</v>
      </c>
    </row>
    <row r="136" spans="1:7" x14ac:dyDescent="0.3">
      <c r="A136">
        <v>135</v>
      </c>
      <c r="B136" t="s">
        <v>4</v>
      </c>
      <c r="C136">
        <v>20</v>
      </c>
      <c r="D136">
        <v>73</v>
      </c>
      <c r="E136">
        <v>5</v>
      </c>
      <c r="F136" t="str">
        <f t="shared" si="4"/>
        <v>Potential</v>
      </c>
      <c r="G136" t="str">
        <f t="shared" si="5"/>
        <v>18-25</v>
      </c>
    </row>
    <row r="137" spans="1:7" x14ac:dyDescent="0.3">
      <c r="A137">
        <v>136</v>
      </c>
      <c r="B137" t="s">
        <v>5</v>
      </c>
      <c r="C137">
        <v>29</v>
      </c>
      <c r="D137">
        <v>73</v>
      </c>
      <c r="E137">
        <v>88</v>
      </c>
      <c r="F137" t="str">
        <f t="shared" si="4"/>
        <v>High Value</v>
      </c>
      <c r="G137" t="str">
        <f t="shared" si="5"/>
        <v>26-35</v>
      </c>
    </row>
    <row r="138" spans="1:7" x14ac:dyDescent="0.3">
      <c r="A138">
        <v>137</v>
      </c>
      <c r="B138" t="s">
        <v>5</v>
      </c>
      <c r="C138">
        <v>44</v>
      </c>
      <c r="D138">
        <v>73</v>
      </c>
      <c r="E138">
        <v>7</v>
      </c>
      <c r="F138" t="str">
        <f t="shared" si="4"/>
        <v>Potential</v>
      </c>
      <c r="G138" t="str">
        <f t="shared" si="5"/>
        <v>36-45</v>
      </c>
    </row>
    <row r="139" spans="1:7" x14ac:dyDescent="0.3">
      <c r="A139">
        <v>138</v>
      </c>
      <c r="B139" t="s">
        <v>4</v>
      </c>
      <c r="C139">
        <v>32</v>
      </c>
      <c r="D139">
        <v>73</v>
      </c>
      <c r="E139">
        <v>73</v>
      </c>
      <c r="F139" t="str">
        <f t="shared" si="4"/>
        <v>High Value</v>
      </c>
      <c r="G139" t="str">
        <f t="shared" si="5"/>
        <v>26-35</v>
      </c>
    </row>
    <row r="140" spans="1:7" x14ac:dyDescent="0.3">
      <c r="A140">
        <v>139</v>
      </c>
      <c r="B140" t="s">
        <v>4</v>
      </c>
      <c r="C140">
        <v>19</v>
      </c>
      <c r="D140">
        <v>74</v>
      </c>
      <c r="E140">
        <v>10</v>
      </c>
      <c r="F140" t="str">
        <f t="shared" si="4"/>
        <v>Potential</v>
      </c>
      <c r="G140" t="str">
        <f t="shared" si="5"/>
        <v>18-25</v>
      </c>
    </row>
    <row r="141" spans="1:7" x14ac:dyDescent="0.3">
      <c r="A141">
        <v>140</v>
      </c>
      <c r="B141" t="s">
        <v>5</v>
      </c>
      <c r="C141">
        <v>35</v>
      </c>
      <c r="D141">
        <v>74</v>
      </c>
      <c r="E141">
        <v>72</v>
      </c>
      <c r="F141" t="str">
        <f t="shared" si="4"/>
        <v>High Value</v>
      </c>
      <c r="G141" t="str">
        <f t="shared" si="5"/>
        <v>26-35</v>
      </c>
    </row>
    <row r="142" spans="1:7" x14ac:dyDescent="0.3">
      <c r="A142">
        <v>141</v>
      </c>
      <c r="B142" t="s">
        <v>5</v>
      </c>
      <c r="C142">
        <v>57</v>
      </c>
      <c r="D142">
        <v>75</v>
      </c>
      <c r="E142">
        <v>5</v>
      </c>
      <c r="F142" t="str">
        <f t="shared" si="4"/>
        <v>Potential</v>
      </c>
      <c r="G142" t="str">
        <f t="shared" si="5"/>
        <v>56+</v>
      </c>
    </row>
    <row r="143" spans="1:7" x14ac:dyDescent="0.3">
      <c r="A143">
        <v>142</v>
      </c>
      <c r="B143" t="s">
        <v>4</v>
      </c>
      <c r="C143">
        <v>32</v>
      </c>
      <c r="D143">
        <v>75</v>
      </c>
      <c r="E143">
        <v>93</v>
      </c>
      <c r="F143" t="str">
        <f t="shared" si="4"/>
        <v>High Value</v>
      </c>
      <c r="G143" t="str">
        <f t="shared" si="5"/>
        <v>26-35</v>
      </c>
    </row>
    <row r="144" spans="1:7" x14ac:dyDescent="0.3">
      <c r="A144">
        <v>143</v>
      </c>
      <c r="B144" t="s">
        <v>5</v>
      </c>
      <c r="C144">
        <v>28</v>
      </c>
      <c r="D144">
        <v>76</v>
      </c>
      <c r="E144">
        <v>40</v>
      </c>
      <c r="F144" t="str">
        <f t="shared" si="4"/>
        <v>Potential</v>
      </c>
      <c r="G144" t="str">
        <f t="shared" si="5"/>
        <v>26-35</v>
      </c>
    </row>
    <row r="145" spans="1:7" x14ac:dyDescent="0.3">
      <c r="A145">
        <v>144</v>
      </c>
      <c r="B145" t="s">
        <v>5</v>
      </c>
      <c r="C145">
        <v>32</v>
      </c>
      <c r="D145">
        <v>76</v>
      </c>
      <c r="E145">
        <v>87</v>
      </c>
      <c r="F145" t="str">
        <f t="shared" si="4"/>
        <v>High Value</v>
      </c>
      <c r="G145" t="str">
        <f t="shared" si="5"/>
        <v>26-35</v>
      </c>
    </row>
    <row r="146" spans="1:7" x14ac:dyDescent="0.3">
      <c r="A146">
        <v>145</v>
      </c>
      <c r="B146" t="s">
        <v>4</v>
      </c>
      <c r="C146">
        <v>25</v>
      </c>
      <c r="D146">
        <v>77</v>
      </c>
      <c r="E146">
        <v>12</v>
      </c>
      <c r="F146" t="str">
        <f t="shared" si="4"/>
        <v>Potential</v>
      </c>
      <c r="G146" t="str">
        <f t="shared" si="5"/>
        <v>18-25</v>
      </c>
    </row>
    <row r="147" spans="1:7" x14ac:dyDescent="0.3">
      <c r="A147">
        <v>146</v>
      </c>
      <c r="B147" t="s">
        <v>4</v>
      </c>
      <c r="C147">
        <v>28</v>
      </c>
      <c r="D147">
        <v>77</v>
      </c>
      <c r="E147">
        <v>97</v>
      </c>
      <c r="F147" t="str">
        <f t="shared" si="4"/>
        <v>High Value</v>
      </c>
      <c r="G147" t="str">
        <f t="shared" si="5"/>
        <v>26-35</v>
      </c>
    </row>
    <row r="148" spans="1:7" x14ac:dyDescent="0.3">
      <c r="A148">
        <v>147</v>
      </c>
      <c r="B148" t="s">
        <v>4</v>
      </c>
      <c r="C148">
        <v>48</v>
      </c>
      <c r="D148">
        <v>77</v>
      </c>
      <c r="E148">
        <v>36</v>
      </c>
      <c r="F148" t="str">
        <f t="shared" si="4"/>
        <v>Potential</v>
      </c>
      <c r="G148" t="str">
        <f t="shared" si="5"/>
        <v>46-55</v>
      </c>
    </row>
    <row r="149" spans="1:7" x14ac:dyDescent="0.3">
      <c r="A149">
        <v>148</v>
      </c>
      <c r="B149" t="s">
        <v>5</v>
      </c>
      <c r="C149">
        <v>32</v>
      </c>
      <c r="D149">
        <v>77</v>
      </c>
      <c r="E149">
        <v>74</v>
      </c>
      <c r="F149" t="str">
        <f t="shared" si="4"/>
        <v>High Value</v>
      </c>
      <c r="G149" t="str">
        <f t="shared" si="5"/>
        <v>26-35</v>
      </c>
    </row>
    <row r="150" spans="1:7" x14ac:dyDescent="0.3">
      <c r="A150">
        <v>149</v>
      </c>
      <c r="B150" t="s">
        <v>5</v>
      </c>
      <c r="C150">
        <v>34</v>
      </c>
      <c r="D150">
        <v>78</v>
      </c>
      <c r="E150">
        <v>22</v>
      </c>
      <c r="F150" t="str">
        <f t="shared" si="4"/>
        <v>Potential</v>
      </c>
      <c r="G150" t="str">
        <f t="shared" si="5"/>
        <v>26-35</v>
      </c>
    </row>
    <row r="151" spans="1:7" x14ac:dyDescent="0.3">
      <c r="A151">
        <v>150</v>
      </c>
      <c r="B151" t="s">
        <v>4</v>
      </c>
      <c r="C151">
        <v>34</v>
      </c>
      <c r="D151">
        <v>78</v>
      </c>
      <c r="E151">
        <v>90</v>
      </c>
      <c r="F151" t="str">
        <f t="shared" si="4"/>
        <v>High Value</v>
      </c>
      <c r="G151" t="str">
        <f t="shared" si="5"/>
        <v>26-35</v>
      </c>
    </row>
    <row r="152" spans="1:7" x14ac:dyDescent="0.3">
      <c r="A152">
        <v>151</v>
      </c>
      <c r="B152" t="s">
        <v>4</v>
      </c>
      <c r="C152">
        <v>43</v>
      </c>
      <c r="D152">
        <v>78</v>
      </c>
      <c r="E152">
        <v>17</v>
      </c>
      <c r="F152" t="str">
        <f t="shared" si="4"/>
        <v>Potential</v>
      </c>
      <c r="G152" t="str">
        <f t="shared" si="5"/>
        <v>36-45</v>
      </c>
    </row>
    <row r="153" spans="1:7" x14ac:dyDescent="0.3">
      <c r="A153">
        <v>152</v>
      </c>
      <c r="B153" t="s">
        <v>4</v>
      </c>
      <c r="C153">
        <v>39</v>
      </c>
      <c r="D153">
        <v>78</v>
      </c>
      <c r="E153">
        <v>88</v>
      </c>
      <c r="F153" t="str">
        <f t="shared" si="4"/>
        <v>High Value</v>
      </c>
      <c r="G153" t="str">
        <f t="shared" si="5"/>
        <v>36-45</v>
      </c>
    </row>
    <row r="154" spans="1:7" x14ac:dyDescent="0.3">
      <c r="A154">
        <v>153</v>
      </c>
      <c r="B154" t="s">
        <v>5</v>
      </c>
      <c r="C154">
        <v>44</v>
      </c>
      <c r="D154">
        <v>78</v>
      </c>
      <c r="E154">
        <v>20</v>
      </c>
      <c r="F154" t="str">
        <f t="shared" si="4"/>
        <v>Potential</v>
      </c>
      <c r="G154" t="str">
        <f t="shared" si="5"/>
        <v>36-45</v>
      </c>
    </row>
    <row r="155" spans="1:7" x14ac:dyDescent="0.3">
      <c r="A155">
        <v>154</v>
      </c>
      <c r="B155" t="s">
        <v>5</v>
      </c>
      <c r="C155">
        <v>38</v>
      </c>
      <c r="D155">
        <v>78</v>
      </c>
      <c r="E155">
        <v>76</v>
      </c>
      <c r="F155" t="str">
        <f t="shared" si="4"/>
        <v>High Value</v>
      </c>
      <c r="G155" t="str">
        <f t="shared" si="5"/>
        <v>36-45</v>
      </c>
    </row>
    <row r="156" spans="1:7" x14ac:dyDescent="0.3">
      <c r="A156">
        <v>155</v>
      </c>
      <c r="B156" t="s">
        <v>5</v>
      </c>
      <c r="C156">
        <v>47</v>
      </c>
      <c r="D156">
        <v>78</v>
      </c>
      <c r="E156">
        <v>16</v>
      </c>
      <c r="F156" t="str">
        <f t="shared" si="4"/>
        <v>Potential</v>
      </c>
      <c r="G156" t="str">
        <f t="shared" si="5"/>
        <v>46-55</v>
      </c>
    </row>
    <row r="157" spans="1:7" x14ac:dyDescent="0.3">
      <c r="A157">
        <v>156</v>
      </c>
      <c r="B157" t="s">
        <v>5</v>
      </c>
      <c r="C157">
        <v>27</v>
      </c>
      <c r="D157">
        <v>78</v>
      </c>
      <c r="E157">
        <v>89</v>
      </c>
      <c r="F157" t="str">
        <f t="shared" si="4"/>
        <v>High Value</v>
      </c>
      <c r="G157" t="str">
        <f t="shared" si="5"/>
        <v>26-35</v>
      </c>
    </row>
    <row r="158" spans="1:7" x14ac:dyDescent="0.3">
      <c r="A158">
        <v>157</v>
      </c>
      <c r="B158" t="s">
        <v>4</v>
      </c>
      <c r="C158">
        <v>37</v>
      </c>
      <c r="D158">
        <v>78</v>
      </c>
      <c r="E158">
        <v>1</v>
      </c>
      <c r="F158" t="str">
        <f t="shared" si="4"/>
        <v>Potential</v>
      </c>
      <c r="G158" t="str">
        <f t="shared" si="5"/>
        <v>36-45</v>
      </c>
    </row>
    <row r="159" spans="1:7" x14ac:dyDescent="0.3">
      <c r="A159">
        <v>158</v>
      </c>
      <c r="B159" t="s">
        <v>5</v>
      </c>
      <c r="C159">
        <v>30</v>
      </c>
      <c r="D159">
        <v>78</v>
      </c>
      <c r="E159">
        <v>78</v>
      </c>
      <c r="F159" t="str">
        <f t="shared" si="4"/>
        <v>High Value</v>
      </c>
      <c r="G159" t="str">
        <f t="shared" si="5"/>
        <v>26-35</v>
      </c>
    </row>
    <row r="160" spans="1:7" x14ac:dyDescent="0.3">
      <c r="A160">
        <v>159</v>
      </c>
      <c r="B160" t="s">
        <v>4</v>
      </c>
      <c r="C160">
        <v>34</v>
      </c>
      <c r="D160">
        <v>78</v>
      </c>
      <c r="E160">
        <v>1</v>
      </c>
      <c r="F160" t="str">
        <f t="shared" si="4"/>
        <v>Potential</v>
      </c>
      <c r="G160" t="str">
        <f t="shared" si="5"/>
        <v>26-35</v>
      </c>
    </row>
    <row r="161" spans="1:7" x14ac:dyDescent="0.3">
      <c r="A161">
        <v>160</v>
      </c>
      <c r="B161" t="s">
        <v>5</v>
      </c>
      <c r="C161">
        <v>30</v>
      </c>
      <c r="D161">
        <v>78</v>
      </c>
      <c r="E161">
        <v>73</v>
      </c>
      <c r="F161" t="str">
        <f t="shared" si="4"/>
        <v>High Value</v>
      </c>
      <c r="G161" t="str">
        <f t="shared" si="5"/>
        <v>26-35</v>
      </c>
    </row>
    <row r="162" spans="1:7" x14ac:dyDescent="0.3">
      <c r="A162">
        <v>161</v>
      </c>
      <c r="B162" t="s">
        <v>5</v>
      </c>
      <c r="C162">
        <v>56</v>
      </c>
      <c r="D162">
        <v>79</v>
      </c>
      <c r="E162">
        <v>35</v>
      </c>
      <c r="F162" t="str">
        <f t="shared" si="4"/>
        <v>Potential</v>
      </c>
      <c r="G162" t="str">
        <f t="shared" si="5"/>
        <v>56+</v>
      </c>
    </row>
    <row r="163" spans="1:7" x14ac:dyDescent="0.3">
      <c r="A163">
        <v>162</v>
      </c>
      <c r="B163" t="s">
        <v>5</v>
      </c>
      <c r="C163">
        <v>29</v>
      </c>
      <c r="D163">
        <v>79</v>
      </c>
      <c r="E163">
        <v>83</v>
      </c>
      <c r="F163" t="str">
        <f t="shared" si="4"/>
        <v>High Value</v>
      </c>
      <c r="G163" t="str">
        <f t="shared" si="5"/>
        <v>26-35</v>
      </c>
    </row>
    <row r="164" spans="1:7" x14ac:dyDescent="0.3">
      <c r="A164">
        <v>163</v>
      </c>
      <c r="B164" t="s">
        <v>4</v>
      </c>
      <c r="C164">
        <v>19</v>
      </c>
      <c r="D164">
        <v>81</v>
      </c>
      <c r="E164">
        <v>5</v>
      </c>
      <c r="F164" t="str">
        <f t="shared" si="4"/>
        <v>Potential</v>
      </c>
      <c r="G164" t="str">
        <f t="shared" si="5"/>
        <v>18-25</v>
      </c>
    </row>
    <row r="165" spans="1:7" x14ac:dyDescent="0.3">
      <c r="A165">
        <v>164</v>
      </c>
      <c r="B165" t="s">
        <v>5</v>
      </c>
      <c r="C165">
        <v>31</v>
      </c>
      <c r="D165">
        <v>81</v>
      </c>
      <c r="E165">
        <v>93</v>
      </c>
      <c r="F165" t="str">
        <f t="shared" si="4"/>
        <v>High Value</v>
      </c>
      <c r="G165" t="str">
        <f t="shared" si="5"/>
        <v>26-35</v>
      </c>
    </row>
    <row r="166" spans="1:7" x14ac:dyDescent="0.3">
      <c r="A166">
        <v>165</v>
      </c>
      <c r="B166" t="s">
        <v>4</v>
      </c>
      <c r="C166">
        <v>50</v>
      </c>
      <c r="D166">
        <v>85</v>
      </c>
      <c r="E166">
        <v>26</v>
      </c>
      <c r="F166" t="str">
        <f t="shared" si="4"/>
        <v>Potential</v>
      </c>
      <c r="G166" t="str">
        <f t="shared" si="5"/>
        <v>46-55</v>
      </c>
    </row>
    <row r="167" spans="1:7" x14ac:dyDescent="0.3">
      <c r="A167">
        <v>166</v>
      </c>
      <c r="B167" t="s">
        <v>5</v>
      </c>
      <c r="C167">
        <v>36</v>
      </c>
      <c r="D167">
        <v>85</v>
      </c>
      <c r="E167">
        <v>75</v>
      </c>
      <c r="F167" t="str">
        <f t="shared" si="4"/>
        <v>High Value</v>
      </c>
      <c r="G167" t="str">
        <f t="shared" si="5"/>
        <v>36-45</v>
      </c>
    </row>
    <row r="168" spans="1:7" x14ac:dyDescent="0.3">
      <c r="A168">
        <v>167</v>
      </c>
      <c r="B168" t="s">
        <v>4</v>
      </c>
      <c r="C168">
        <v>42</v>
      </c>
      <c r="D168">
        <v>86</v>
      </c>
      <c r="E168">
        <v>20</v>
      </c>
      <c r="F168" t="str">
        <f t="shared" si="4"/>
        <v>Potential</v>
      </c>
      <c r="G168" t="str">
        <f t="shared" si="5"/>
        <v>36-45</v>
      </c>
    </row>
    <row r="169" spans="1:7" x14ac:dyDescent="0.3">
      <c r="A169">
        <v>168</v>
      </c>
      <c r="B169" t="s">
        <v>5</v>
      </c>
      <c r="C169">
        <v>33</v>
      </c>
      <c r="D169">
        <v>86</v>
      </c>
      <c r="E169">
        <v>95</v>
      </c>
      <c r="F169" t="str">
        <f t="shared" si="4"/>
        <v>High Value</v>
      </c>
      <c r="G169" t="str">
        <f t="shared" si="5"/>
        <v>26-35</v>
      </c>
    </row>
    <row r="170" spans="1:7" x14ac:dyDescent="0.3">
      <c r="A170">
        <v>169</v>
      </c>
      <c r="B170" t="s">
        <v>5</v>
      </c>
      <c r="C170">
        <v>36</v>
      </c>
      <c r="D170">
        <v>87</v>
      </c>
      <c r="E170">
        <v>27</v>
      </c>
      <c r="F170" t="str">
        <f t="shared" si="4"/>
        <v>Potential</v>
      </c>
      <c r="G170" t="str">
        <f t="shared" si="5"/>
        <v>36-45</v>
      </c>
    </row>
    <row r="171" spans="1:7" x14ac:dyDescent="0.3">
      <c r="A171">
        <v>170</v>
      </c>
      <c r="B171" t="s">
        <v>4</v>
      </c>
      <c r="C171">
        <v>32</v>
      </c>
      <c r="D171">
        <v>87</v>
      </c>
      <c r="E171">
        <v>63</v>
      </c>
      <c r="F171" t="str">
        <f t="shared" si="4"/>
        <v>Potential</v>
      </c>
      <c r="G171" t="str">
        <f t="shared" si="5"/>
        <v>26-35</v>
      </c>
    </row>
    <row r="172" spans="1:7" x14ac:dyDescent="0.3">
      <c r="A172">
        <v>171</v>
      </c>
      <c r="B172" t="s">
        <v>4</v>
      </c>
      <c r="C172">
        <v>40</v>
      </c>
      <c r="D172">
        <v>87</v>
      </c>
      <c r="E172">
        <v>13</v>
      </c>
      <c r="F172" t="str">
        <f t="shared" si="4"/>
        <v>Potential</v>
      </c>
      <c r="G172" t="str">
        <f t="shared" si="5"/>
        <v>36-45</v>
      </c>
    </row>
    <row r="173" spans="1:7" x14ac:dyDescent="0.3">
      <c r="A173">
        <v>172</v>
      </c>
      <c r="B173" t="s">
        <v>4</v>
      </c>
      <c r="C173">
        <v>28</v>
      </c>
      <c r="D173">
        <v>87</v>
      </c>
      <c r="E173">
        <v>75</v>
      </c>
      <c r="F173" t="str">
        <f t="shared" si="4"/>
        <v>High Value</v>
      </c>
      <c r="G173" t="str">
        <f t="shared" si="5"/>
        <v>26-35</v>
      </c>
    </row>
    <row r="174" spans="1:7" x14ac:dyDescent="0.3">
      <c r="A174">
        <v>173</v>
      </c>
      <c r="B174" t="s">
        <v>4</v>
      </c>
      <c r="C174">
        <v>36</v>
      </c>
      <c r="D174">
        <v>87</v>
      </c>
      <c r="E174">
        <v>10</v>
      </c>
      <c r="F174" t="str">
        <f t="shared" si="4"/>
        <v>Potential</v>
      </c>
      <c r="G174" t="str">
        <f t="shared" si="5"/>
        <v>36-45</v>
      </c>
    </row>
    <row r="175" spans="1:7" x14ac:dyDescent="0.3">
      <c r="A175">
        <v>174</v>
      </c>
      <c r="B175" t="s">
        <v>4</v>
      </c>
      <c r="C175">
        <v>36</v>
      </c>
      <c r="D175">
        <v>87</v>
      </c>
      <c r="E175">
        <v>92</v>
      </c>
      <c r="F175" t="str">
        <f t="shared" si="4"/>
        <v>High Value</v>
      </c>
      <c r="G175" t="str">
        <f t="shared" si="5"/>
        <v>36-45</v>
      </c>
    </row>
    <row r="176" spans="1:7" x14ac:dyDescent="0.3">
      <c r="A176">
        <v>175</v>
      </c>
      <c r="B176" t="s">
        <v>5</v>
      </c>
      <c r="C176">
        <v>52</v>
      </c>
      <c r="D176">
        <v>88</v>
      </c>
      <c r="E176">
        <v>13</v>
      </c>
      <c r="F176" t="str">
        <f t="shared" si="4"/>
        <v>Potential</v>
      </c>
      <c r="G176" t="str">
        <f t="shared" si="5"/>
        <v>46-55</v>
      </c>
    </row>
    <row r="177" spans="1:7" x14ac:dyDescent="0.3">
      <c r="A177">
        <v>176</v>
      </c>
      <c r="B177" t="s">
        <v>5</v>
      </c>
      <c r="C177">
        <v>30</v>
      </c>
      <c r="D177">
        <v>88</v>
      </c>
      <c r="E177">
        <v>86</v>
      </c>
      <c r="F177" t="str">
        <f t="shared" si="4"/>
        <v>High Value</v>
      </c>
      <c r="G177" t="str">
        <f t="shared" si="5"/>
        <v>26-35</v>
      </c>
    </row>
    <row r="178" spans="1:7" x14ac:dyDescent="0.3">
      <c r="A178">
        <v>177</v>
      </c>
      <c r="B178" t="s">
        <v>4</v>
      </c>
      <c r="C178">
        <v>58</v>
      </c>
      <c r="D178">
        <v>88</v>
      </c>
      <c r="E178">
        <v>15</v>
      </c>
      <c r="F178" t="str">
        <f t="shared" si="4"/>
        <v>Potential</v>
      </c>
      <c r="G178" t="str">
        <f t="shared" si="5"/>
        <v>56+</v>
      </c>
    </row>
    <row r="179" spans="1:7" x14ac:dyDescent="0.3">
      <c r="A179">
        <v>178</v>
      </c>
      <c r="B179" t="s">
        <v>4</v>
      </c>
      <c r="C179">
        <v>27</v>
      </c>
      <c r="D179">
        <v>88</v>
      </c>
      <c r="E179">
        <v>69</v>
      </c>
      <c r="F179" t="str">
        <f t="shared" si="4"/>
        <v>Potential</v>
      </c>
      <c r="G179" t="str">
        <f t="shared" si="5"/>
        <v>26-35</v>
      </c>
    </row>
    <row r="180" spans="1:7" x14ac:dyDescent="0.3">
      <c r="A180">
        <v>179</v>
      </c>
      <c r="B180" t="s">
        <v>4</v>
      </c>
      <c r="C180">
        <v>59</v>
      </c>
      <c r="D180">
        <v>93</v>
      </c>
      <c r="E180">
        <v>14</v>
      </c>
      <c r="F180" t="str">
        <f t="shared" si="4"/>
        <v>Potential</v>
      </c>
      <c r="G180" t="str">
        <f t="shared" si="5"/>
        <v>56+</v>
      </c>
    </row>
    <row r="181" spans="1:7" x14ac:dyDescent="0.3">
      <c r="A181">
        <v>180</v>
      </c>
      <c r="B181" t="s">
        <v>4</v>
      </c>
      <c r="C181">
        <v>35</v>
      </c>
      <c r="D181">
        <v>93</v>
      </c>
      <c r="E181">
        <v>90</v>
      </c>
      <c r="F181" t="str">
        <f t="shared" si="4"/>
        <v>High Value</v>
      </c>
      <c r="G181" t="str">
        <f t="shared" si="5"/>
        <v>26-35</v>
      </c>
    </row>
    <row r="182" spans="1:7" x14ac:dyDescent="0.3">
      <c r="A182">
        <v>181</v>
      </c>
      <c r="B182" t="s">
        <v>5</v>
      </c>
      <c r="C182">
        <v>37</v>
      </c>
      <c r="D182">
        <v>97</v>
      </c>
      <c r="E182">
        <v>32</v>
      </c>
      <c r="F182" t="str">
        <f t="shared" si="4"/>
        <v>Potential</v>
      </c>
      <c r="G182" t="str">
        <f t="shared" si="5"/>
        <v>36-45</v>
      </c>
    </row>
    <row r="183" spans="1:7" x14ac:dyDescent="0.3">
      <c r="A183">
        <v>182</v>
      </c>
      <c r="B183" t="s">
        <v>5</v>
      </c>
      <c r="C183">
        <v>32</v>
      </c>
      <c r="D183">
        <v>97</v>
      </c>
      <c r="E183">
        <v>86</v>
      </c>
      <c r="F183" t="str">
        <f t="shared" si="4"/>
        <v>High Value</v>
      </c>
      <c r="G183" t="str">
        <f t="shared" si="5"/>
        <v>26-35</v>
      </c>
    </row>
    <row r="184" spans="1:7" x14ac:dyDescent="0.3">
      <c r="A184">
        <v>183</v>
      </c>
      <c r="B184" t="s">
        <v>4</v>
      </c>
      <c r="C184">
        <v>46</v>
      </c>
      <c r="D184">
        <v>98</v>
      </c>
      <c r="E184">
        <v>15</v>
      </c>
      <c r="F184" t="str">
        <f t="shared" si="4"/>
        <v>Potential</v>
      </c>
      <c r="G184" t="str">
        <f t="shared" si="5"/>
        <v>46-55</v>
      </c>
    </row>
    <row r="185" spans="1:7" x14ac:dyDescent="0.3">
      <c r="A185">
        <v>184</v>
      </c>
      <c r="B185" t="s">
        <v>5</v>
      </c>
      <c r="C185">
        <v>29</v>
      </c>
      <c r="D185">
        <v>98</v>
      </c>
      <c r="E185">
        <v>88</v>
      </c>
      <c r="F185" t="str">
        <f t="shared" si="4"/>
        <v>High Value</v>
      </c>
      <c r="G185" t="str">
        <f t="shared" si="5"/>
        <v>26-35</v>
      </c>
    </row>
    <row r="186" spans="1:7" x14ac:dyDescent="0.3">
      <c r="A186">
        <v>185</v>
      </c>
      <c r="B186" t="s">
        <v>5</v>
      </c>
      <c r="C186">
        <v>41</v>
      </c>
      <c r="D186">
        <v>99</v>
      </c>
      <c r="E186">
        <v>39</v>
      </c>
      <c r="F186" t="str">
        <f t="shared" si="4"/>
        <v>Potential</v>
      </c>
      <c r="G186" t="str">
        <f t="shared" si="5"/>
        <v>36-45</v>
      </c>
    </row>
    <row r="187" spans="1:7" x14ac:dyDescent="0.3">
      <c r="A187">
        <v>186</v>
      </c>
      <c r="B187" t="s">
        <v>4</v>
      </c>
      <c r="C187">
        <v>30</v>
      </c>
      <c r="D187">
        <v>99</v>
      </c>
      <c r="E187">
        <v>97</v>
      </c>
      <c r="F187" t="str">
        <f t="shared" si="4"/>
        <v>High Value</v>
      </c>
      <c r="G187" t="str">
        <f t="shared" si="5"/>
        <v>26-35</v>
      </c>
    </row>
    <row r="188" spans="1:7" x14ac:dyDescent="0.3">
      <c r="A188">
        <v>187</v>
      </c>
      <c r="B188" t="s">
        <v>5</v>
      </c>
      <c r="C188">
        <v>54</v>
      </c>
      <c r="D188">
        <v>101</v>
      </c>
      <c r="E188">
        <v>24</v>
      </c>
      <c r="F188" t="str">
        <f t="shared" si="4"/>
        <v>Potential</v>
      </c>
      <c r="G188" t="str">
        <f t="shared" si="5"/>
        <v>46-55</v>
      </c>
    </row>
    <row r="189" spans="1:7" x14ac:dyDescent="0.3">
      <c r="A189">
        <v>188</v>
      </c>
      <c r="B189" t="s">
        <v>4</v>
      </c>
      <c r="C189">
        <v>28</v>
      </c>
      <c r="D189">
        <v>101</v>
      </c>
      <c r="E189">
        <v>68</v>
      </c>
      <c r="F189" t="str">
        <f t="shared" si="4"/>
        <v>Potential</v>
      </c>
      <c r="G189" t="str">
        <f t="shared" si="5"/>
        <v>26-35</v>
      </c>
    </row>
    <row r="190" spans="1:7" x14ac:dyDescent="0.3">
      <c r="A190">
        <v>189</v>
      </c>
      <c r="B190" t="s">
        <v>5</v>
      </c>
      <c r="C190">
        <v>41</v>
      </c>
      <c r="D190">
        <v>103</v>
      </c>
      <c r="E190">
        <v>17</v>
      </c>
      <c r="F190" t="str">
        <f t="shared" si="4"/>
        <v>Potential</v>
      </c>
      <c r="G190" t="str">
        <f t="shared" si="5"/>
        <v>36-45</v>
      </c>
    </row>
    <row r="191" spans="1:7" x14ac:dyDescent="0.3">
      <c r="A191">
        <v>190</v>
      </c>
      <c r="B191" t="s">
        <v>5</v>
      </c>
      <c r="C191">
        <v>36</v>
      </c>
      <c r="D191">
        <v>103</v>
      </c>
      <c r="E191">
        <v>85</v>
      </c>
      <c r="F191" t="str">
        <f t="shared" si="4"/>
        <v>High Value</v>
      </c>
      <c r="G191" t="str">
        <f t="shared" si="5"/>
        <v>36-45</v>
      </c>
    </row>
    <row r="192" spans="1:7" x14ac:dyDescent="0.3">
      <c r="A192">
        <v>191</v>
      </c>
      <c r="B192" t="s">
        <v>5</v>
      </c>
      <c r="C192">
        <v>34</v>
      </c>
      <c r="D192">
        <v>103</v>
      </c>
      <c r="E192">
        <v>23</v>
      </c>
      <c r="F192" t="str">
        <f t="shared" si="4"/>
        <v>Potential</v>
      </c>
      <c r="G192" t="str">
        <f t="shared" si="5"/>
        <v>26-35</v>
      </c>
    </row>
    <row r="193" spans="1:7" x14ac:dyDescent="0.3">
      <c r="A193">
        <v>192</v>
      </c>
      <c r="B193" t="s">
        <v>5</v>
      </c>
      <c r="C193">
        <v>32</v>
      </c>
      <c r="D193">
        <v>103</v>
      </c>
      <c r="E193">
        <v>69</v>
      </c>
      <c r="F193" t="str">
        <f t="shared" si="4"/>
        <v>Potential</v>
      </c>
      <c r="G193" t="str">
        <f t="shared" si="5"/>
        <v>26-35</v>
      </c>
    </row>
    <row r="194" spans="1:7" x14ac:dyDescent="0.3">
      <c r="A194">
        <v>193</v>
      </c>
      <c r="B194" t="s">
        <v>4</v>
      </c>
      <c r="C194">
        <v>33</v>
      </c>
      <c r="D194">
        <v>113</v>
      </c>
      <c r="E194">
        <v>8</v>
      </c>
      <c r="F194" t="str">
        <f t="shared" si="4"/>
        <v>Potential</v>
      </c>
      <c r="G194" t="str">
        <f t="shared" si="5"/>
        <v>26-35</v>
      </c>
    </row>
    <row r="195" spans="1:7" x14ac:dyDescent="0.3">
      <c r="A195">
        <v>194</v>
      </c>
      <c r="B195" t="s">
        <v>5</v>
      </c>
      <c r="C195">
        <v>38</v>
      </c>
      <c r="D195">
        <v>113</v>
      </c>
      <c r="E195">
        <v>91</v>
      </c>
      <c r="F195" t="str">
        <f t="shared" ref="F195:F201" si="6">IF(AND(D195&gt;=70,E195&gt;=70),"High Value",
IF(AND(D195&gt;=70,E195&lt;70),"Potential",
IF(AND(D195&lt;70,E195&gt;=70),"Impulsive",
"Low Value")))</f>
        <v>High Value</v>
      </c>
      <c r="G195" t="str">
        <f t="shared" ref="G195:G201" si="7">IF(C195&lt;=25,"18-25",IF(C195&lt;=35,"26-35",IF(C195&lt;=45,"36-45",IF(C195&lt;=55,"46-55","56+"))))</f>
        <v>36-45</v>
      </c>
    </row>
    <row r="196" spans="1:7" x14ac:dyDescent="0.3">
      <c r="A196">
        <v>195</v>
      </c>
      <c r="B196" t="s">
        <v>5</v>
      </c>
      <c r="C196">
        <v>47</v>
      </c>
      <c r="D196">
        <v>120</v>
      </c>
      <c r="E196">
        <v>16</v>
      </c>
      <c r="F196" t="str">
        <f t="shared" si="6"/>
        <v>Potential</v>
      </c>
      <c r="G196" t="str">
        <f t="shared" si="7"/>
        <v>46-55</v>
      </c>
    </row>
    <row r="197" spans="1:7" x14ac:dyDescent="0.3">
      <c r="A197">
        <v>196</v>
      </c>
      <c r="B197" t="s">
        <v>5</v>
      </c>
      <c r="C197">
        <v>35</v>
      </c>
      <c r="D197">
        <v>120</v>
      </c>
      <c r="E197">
        <v>79</v>
      </c>
      <c r="F197" t="str">
        <f t="shared" si="6"/>
        <v>High Value</v>
      </c>
      <c r="G197" t="str">
        <f t="shared" si="7"/>
        <v>26-35</v>
      </c>
    </row>
    <row r="198" spans="1:7" x14ac:dyDescent="0.3">
      <c r="A198">
        <v>197</v>
      </c>
      <c r="B198" t="s">
        <v>5</v>
      </c>
      <c r="C198">
        <v>45</v>
      </c>
      <c r="D198">
        <v>126</v>
      </c>
      <c r="E198">
        <v>28</v>
      </c>
      <c r="F198" t="str">
        <f t="shared" si="6"/>
        <v>Potential</v>
      </c>
      <c r="G198" t="str">
        <f t="shared" si="7"/>
        <v>36-45</v>
      </c>
    </row>
    <row r="199" spans="1:7" x14ac:dyDescent="0.3">
      <c r="A199">
        <v>198</v>
      </c>
      <c r="B199" t="s">
        <v>4</v>
      </c>
      <c r="C199">
        <v>32</v>
      </c>
      <c r="D199">
        <v>126</v>
      </c>
      <c r="E199">
        <v>74</v>
      </c>
      <c r="F199" t="str">
        <f t="shared" si="6"/>
        <v>High Value</v>
      </c>
      <c r="G199" t="str">
        <f t="shared" si="7"/>
        <v>26-35</v>
      </c>
    </row>
    <row r="200" spans="1:7" x14ac:dyDescent="0.3">
      <c r="A200">
        <v>199</v>
      </c>
      <c r="B200" t="s">
        <v>4</v>
      </c>
      <c r="C200">
        <v>32</v>
      </c>
      <c r="D200">
        <v>137</v>
      </c>
      <c r="E200">
        <v>18</v>
      </c>
      <c r="F200" t="str">
        <f t="shared" si="6"/>
        <v>Potential</v>
      </c>
      <c r="G200" t="str">
        <f t="shared" si="7"/>
        <v>26-35</v>
      </c>
    </row>
    <row r="201" spans="1:7" x14ac:dyDescent="0.3">
      <c r="A201">
        <v>200</v>
      </c>
      <c r="B201" t="s">
        <v>4</v>
      </c>
      <c r="C201">
        <v>30</v>
      </c>
      <c r="D201">
        <v>137</v>
      </c>
      <c r="E201">
        <v>83</v>
      </c>
      <c r="F201" t="str">
        <f t="shared" si="6"/>
        <v>High Value</v>
      </c>
      <c r="G201" t="str">
        <f t="shared" si="7"/>
        <v>26-35</v>
      </c>
    </row>
  </sheetData>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B7CA-1505-4105-AFAF-62ACE5D20BDB}">
  <dimension ref="A1:U27"/>
  <sheetViews>
    <sheetView showGridLines="0" zoomScale="99" zoomScaleNormal="99" workbookViewId="0">
      <selection activeCell="B33" sqref="B33"/>
    </sheetView>
  </sheetViews>
  <sheetFormatPr defaultRowHeight="14.4" x14ac:dyDescent="0.3"/>
  <cols>
    <col min="1" max="1" width="17.6640625" style="4" customWidth="1"/>
    <col min="2" max="2" width="8.88671875" style="4" customWidth="1"/>
    <col min="3" max="17" width="8.88671875" style="4"/>
    <col min="18" max="18" width="19.44140625" style="4" bestFit="1" customWidth="1"/>
    <col min="19" max="19" width="6.33203125" style="4" bestFit="1" customWidth="1"/>
    <col min="20" max="20" width="9.33203125" style="4" customWidth="1"/>
    <col min="21" max="21" width="23.88671875" style="4" customWidth="1"/>
    <col min="22" max="22" width="23.88671875" style="4" bestFit="1" customWidth="1"/>
    <col min="23" max="16384" width="8.88671875" style="4"/>
  </cols>
  <sheetData>
    <row r="1" spans="1:21" ht="14.4" customHeight="1" x14ac:dyDescent="0.3">
      <c r="A1" s="8" t="s">
        <v>23</v>
      </c>
      <c r="B1" s="8"/>
      <c r="C1" s="8"/>
      <c r="D1" s="8"/>
      <c r="E1" s="8"/>
      <c r="F1" s="8"/>
      <c r="G1" s="8"/>
      <c r="H1" s="8"/>
      <c r="I1" s="8"/>
      <c r="J1" s="8"/>
      <c r="K1" s="8"/>
      <c r="L1" s="8"/>
      <c r="M1" s="8"/>
      <c r="N1" s="8"/>
    </row>
    <row r="2" spans="1:21" ht="14.4" customHeight="1" x14ac:dyDescent="0.3">
      <c r="A2" s="8"/>
      <c r="B2" s="8"/>
      <c r="C2" s="8"/>
      <c r="D2" s="8"/>
      <c r="E2" s="8"/>
      <c r="F2" s="8"/>
      <c r="G2" s="8"/>
      <c r="H2" s="8"/>
      <c r="I2" s="8"/>
      <c r="J2" s="8"/>
      <c r="K2" s="8"/>
      <c r="L2" s="8"/>
      <c r="M2" s="8"/>
      <c r="N2" s="8"/>
    </row>
    <row r="3" spans="1:21" ht="14.4" customHeight="1" x14ac:dyDescent="0.3">
      <c r="A3" s="8"/>
      <c r="B3" s="8"/>
      <c r="C3" s="8"/>
      <c r="D3" s="8"/>
      <c r="E3" s="8"/>
      <c r="F3" s="8"/>
      <c r="G3" s="8"/>
      <c r="H3" s="8"/>
      <c r="I3" s="8"/>
      <c r="J3" s="8"/>
      <c r="K3" s="8"/>
      <c r="L3" s="8"/>
      <c r="M3" s="8"/>
      <c r="N3" s="8"/>
    </row>
    <row r="4" spans="1:21" ht="15.6" customHeight="1" x14ac:dyDescent="0.3">
      <c r="A4" s="9" t="s">
        <v>24</v>
      </c>
      <c r="B4" s="9"/>
      <c r="C4" s="9"/>
      <c r="D4" s="9"/>
      <c r="E4" s="9"/>
      <c r="F4" s="9"/>
      <c r="G4" s="9"/>
      <c r="H4" s="9"/>
      <c r="I4" s="9"/>
      <c r="J4" s="9"/>
      <c r="K4" s="9"/>
      <c r="L4" s="9"/>
      <c r="M4" s="9"/>
      <c r="N4" s="9"/>
    </row>
    <row r="5" spans="1:21" x14ac:dyDescent="0.3">
      <c r="A5" s="10"/>
      <c r="B5" s="10"/>
      <c r="C5" s="10"/>
      <c r="D5" s="5"/>
      <c r="E5" s="5"/>
      <c r="F5" s="5"/>
      <c r="G5" s="5"/>
      <c r="H5" s="5"/>
      <c r="I5" s="5"/>
      <c r="J5" s="5"/>
      <c r="K5" s="5"/>
      <c r="L5" s="5"/>
      <c r="M5" s="5"/>
      <c r="N5" s="5"/>
    </row>
    <row r="6" spans="1:21" x14ac:dyDescent="0.3">
      <c r="A6" s="10"/>
      <c r="B6" s="10"/>
      <c r="C6" s="10"/>
      <c r="D6" s="5"/>
      <c r="E6" s="5"/>
      <c r="F6" s="5"/>
      <c r="G6" s="5"/>
      <c r="H6" s="5"/>
      <c r="I6" s="5"/>
      <c r="J6" s="5"/>
      <c r="K6" s="5"/>
      <c r="L6" s="5"/>
      <c r="M6" s="5"/>
      <c r="N6" s="5"/>
      <c r="R6" s="1" t="s">
        <v>6</v>
      </c>
      <c r="S6" s="6" t="s">
        <v>25</v>
      </c>
      <c r="T6" s="6" t="s">
        <v>26</v>
      </c>
      <c r="U6" t="s">
        <v>17</v>
      </c>
    </row>
    <row r="7" spans="1:21" x14ac:dyDescent="0.3">
      <c r="A7" s="10"/>
      <c r="B7" s="10"/>
      <c r="C7" s="10"/>
      <c r="D7" s="5"/>
      <c r="E7" s="5"/>
      <c r="F7" s="5"/>
      <c r="G7" s="5"/>
      <c r="H7" s="5"/>
      <c r="I7" s="5"/>
      <c r="J7" s="5"/>
      <c r="K7" s="5"/>
      <c r="L7" s="5"/>
      <c r="M7" s="5"/>
      <c r="N7" s="5"/>
      <c r="R7" s="2" t="s">
        <v>8</v>
      </c>
      <c r="S7">
        <v>34</v>
      </c>
      <c r="T7" s="7">
        <v>0.17</v>
      </c>
      <c r="U7">
        <v>2927</v>
      </c>
    </row>
    <row r="8" spans="1:21" x14ac:dyDescent="0.3">
      <c r="A8" s="10"/>
      <c r="B8" s="10"/>
      <c r="C8" s="10"/>
      <c r="D8" s="5"/>
      <c r="E8" s="5"/>
      <c r="F8" s="5"/>
      <c r="G8" s="5"/>
      <c r="H8" s="5"/>
      <c r="I8" s="5"/>
      <c r="J8" s="5"/>
      <c r="K8" s="5"/>
      <c r="L8" s="5"/>
      <c r="M8" s="5"/>
      <c r="N8" s="5"/>
      <c r="R8" s="2" t="s">
        <v>9</v>
      </c>
      <c r="S8">
        <v>20</v>
      </c>
      <c r="T8" s="7">
        <v>0.1</v>
      </c>
      <c r="U8">
        <v>547</v>
      </c>
    </row>
    <row r="9" spans="1:21" x14ac:dyDescent="0.3">
      <c r="A9" s="10"/>
      <c r="B9" s="10"/>
      <c r="C9" s="10"/>
      <c r="D9" s="5"/>
      <c r="E9" s="5"/>
      <c r="F9" s="5"/>
      <c r="G9" s="5"/>
      <c r="H9" s="5"/>
      <c r="I9" s="5"/>
      <c r="J9" s="5"/>
      <c r="K9" s="5"/>
      <c r="L9" s="5"/>
      <c r="M9" s="5"/>
      <c r="N9" s="5"/>
      <c r="R9" s="2" t="s">
        <v>10</v>
      </c>
      <c r="S9">
        <v>104</v>
      </c>
      <c r="T9" s="7">
        <v>0.52</v>
      </c>
      <c r="U9">
        <v>4953</v>
      </c>
    </row>
    <row r="10" spans="1:21" x14ac:dyDescent="0.3">
      <c r="A10" s="10"/>
      <c r="B10" s="10"/>
      <c r="C10" s="10"/>
      <c r="R10" s="2" t="s">
        <v>11</v>
      </c>
      <c r="S10">
        <v>42</v>
      </c>
      <c r="T10" s="7">
        <v>0.21</v>
      </c>
      <c r="U10">
        <v>3685</v>
      </c>
    </row>
    <row r="11" spans="1:21" x14ac:dyDescent="0.3">
      <c r="A11" s="10"/>
      <c r="B11" s="10"/>
      <c r="C11" s="10"/>
      <c r="R11" s="2" t="s">
        <v>12</v>
      </c>
      <c r="S11">
        <v>200</v>
      </c>
      <c r="T11" s="7">
        <v>1</v>
      </c>
      <c r="U11">
        <v>12112</v>
      </c>
    </row>
    <row r="12" spans="1:21" x14ac:dyDescent="0.3">
      <c r="A12" s="10"/>
      <c r="B12" s="10"/>
      <c r="C12" s="10"/>
    </row>
    <row r="13" spans="1:21" x14ac:dyDescent="0.3">
      <c r="A13" s="10"/>
      <c r="B13" s="10"/>
      <c r="C13" s="10"/>
    </row>
    <row r="14" spans="1:21" x14ac:dyDescent="0.3">
      <c r="A14" s="10"/>
      <c r="B14" s="10"/>
      <c r="C14" s="10"/>
    </row>
    <row r="15" spans="1:21" x14ac:dyDescent="0.3">
      <c r="A15" s="10"/>
      <c r="B15" s="10"/>
      <c r="C15" s="10"/>
    </row>
    <row r="16" spans="1:21" x14ac:dyDescent="0.3">
      <c r="A16" s="10"/>
      <c r="B16" s="10"/>
      <c r="C16" s="10"/>
    </row>
    <row r="17" spans="1:3" x14ac:dyDescent="0.3">
      <c r="A17" s="10"/>
      <c r="B17" s="10"/>
      <c r="C17" s="10"/>
    </row>
    <row r="18" spans="1:3" x14ac:dyDescent="0.3">
      <c r="A18" s="10"/>
      <c r="B18" s="10"/>
      <c r="C18" s="10"/>
    </row>
    <row r="19" spans="1:3" x14ac:dyDescent="0.3">
      <c r="A19" s="10"/>
      <c r="B19" s="10"/>
      <c r="C19" s="10"/>
    </row>
    <row r="20" spans="1:3" x14ac:dyDescent="0.3">
      <c r="A20" s="10"/>
      <c r="B20" s="10"/>
      <c r="C20" s="10"/>
    </row>
    <row r="21" spans="1:3" x14ac:dyDescent="0.3">
      <c r="A21" s="10"/>
      <c r="B21" s="10"/>
      <c r="C21" s="10"/>
    </row>
    <row r="22" spans="1:3" x14ac:dyDescent="0.3">
      <c r="A22" s="10"/>
      <c r="B22" s="10"/>
      <c r="C22" s="10"/>
    </row>
    <row r="23" spans="1:3" x14ac:dyDescent="0.3">
      <c r="A23" s="10"/>
      <c r="B23" s="10"/>
      <c r="C23" s="10"/>
    </row>
    <row r="24" spans="1:3" x14ac:dyDescent="0.3">
      <c r="A24" s="10"/>
      <c r="B24" s="10"/>
      <c r="C24" s="10"/>
    </row>
    <row r="25" spans="1:3" x14ac:dyDescent="0.3">
      <c r="A25" s="10"/>
      <c r="B25" s="10"/>
      <c r="C25" s="10"/>
    </row>
    <row r="26" spans="1:3" x14ac:dyDescent="0.3">
      <c r="A26" s="10"/>
      <c r="B26" s="10"/>
      <c r="C26" s="10"/>
    </row>
    <row r="27" spans="1:3" x14ac:dyDescent="0.3">
      <c r="A27" s="10"/>
      <c r="B27" s="10"/>
      <c r="C27" s="10"/>
    </row>
  </sheetData>
  <mergeCells count="3">
    <mergeCell ref="A1:N3"/>
    <mergeCell ref="A4:N4"/>
    <mergeCell ref="A5:C2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4953-41A8-421D-BF85-AEAD58F8F164}">
  <dimension ref="A3:B74"/>
  <sheetViews>
    <sheetView topLeftCell="A5" workbookViewId="0">
      <selection activeCell="B19" sqref="B19"/>
    </sheetView>
  </sheetViews>
  <sheetFormatPr defaultRowHeight="14.4" x14ac:dyDescent="0.3"/>
  <cols>
    <col min="1" max="1" width="12.5546875" bestFit="1" customWidth="1"/>
    <col min="2" max="2" width="30.5546875" bestFit="1" customWidth="1"/>
    <col min="3" max="3" width="26.21875" bestFit="1" customWidth="1"/>
  </cols>
  <sheetData>
    <row r="3" spans="1:2" x14ac:dyDescent="0.3">
      <c r="A3" s="1" t="s">
        <v>7</v>
      </c>
      <c r="B3" t="s">
        <v>13</v>
      </c>
    </row>
    <row r="4" spans="1:2" x14ac:dyDescent="0.3">
      <c r="A4" s="2" t="s">
        <v>8</v>
      </c>
      <c r="B4">
        <v>34</v>
      </c>
    </row>
    <row r="5" spans="1:2" x14ac:dyDescent="0.3">
      <c r="A5" s="2" t="s">
        <v>9</v>
      </c>
      <c r="B5">
        <v>20</v>
      </c>
    </row>
    <row r="6" spans="1:2" x14ac:dyDescent="0.3">
      <c r="A6" s="2" t="s">
        <v>10</v>
      </c>
      <c r="B6">
        <v>104</v>
      </c>
    </row>
    <row r="7" spans="1:2" x14ac:dyDescent="0.3">
      <c r="A7" s="2" t="s">
        <v>11</v>
      </c>
      <c r="B7">
        <v>42</v>
      </c>
    </row>
    <row r="8" spans="1:2" x14ac:dyDescent="0.3">
      <c r="A8" s="2" t="s">
        <v>12</v>
      </c>
      <c r="B8">
        <v>200</v>
      </c>
    </row>
    <row r="18" spans="1:2" x14ac:dyDescent="0.3">
      <c r="A18" s="1" t="s">
        <v>7</v>
      </c>
      <c r="B18" t="s">
        <v>15</v>
      </c>
    </row>
    <row r="19" spans="1:2" x14ac:dyDescent="0.3">
      <c r="A19" s="2" t="s">
        <v>5</v>
      </c>
      <c r="B19" s="3">
        <v>51.526785714285715</v>
      </c>
    </row>
    <row r="20" spans="1:2" x14ac:dyDescent="0.3">
      <c r="A20" s="2" t="s">
        <v>4</v>
      </c>
      <c r="B20" s="3">
        <v>48.511363636363633</v>
      </c>
    </row>
    <row r="21" spans="1:2" x14ac:dyDescent="0.3">
      <c r="A21" s="2" t="s">
        <v>12</v>
      </c>
      <c r="B21">
        <v>50.2</v>
      </c>
    </row>
    <row r="34" spans="1:2" x14ac:dyDescent="0.3">
      <c r="A34" s="1" t="s">
        <v>7</v>
      </c>
      <c r="B34" t="s">
        <v>15</v>
      </c>
    </row>
    <row r="35" spans="1:2" x14ac:dyDescent="0.3">
      <c r="A35" s="2" t="s">
        <v>16</v>
      </c>
      <c r="B35" s="3">
        <v>54.94736842105263</v>
      </c>
    </row>
    <row r="36" spans="1:2" x14ac:dyDescent="0.3">
      <c r="A36" s="2" t="s">
        <v>19</v>
      </c>
      <c r="B36" s="3">
        <v>64.45</v>
      </c>
    </row>
    <row r="37" spans="1:2" x14ac:dyDescent="0.3">
      <c r="A37" s="2" t="s">
        <v>20</v>
      </c>
      <c r="B37" s="3">
        <v>44.833333333333336</v>
      </c>
    </row>
    <row r="38" spans="1:2" x14ac:dyDescent="0.3">
      <c r="A38" s="2" t="s">
        <v>21</v>
      </c>
      <c r="B38" s="3">
        <v>36.702702702702702</v>
      </c>
    </row>
    <row r="39" spans="1:2" x14ac:dyDescent="0.3">
      <c r="A39" s="2" t="s">
        <v>22</v>
      </c>
      <c r="B39" s="3">
        <v>38.379310344827587</v>
      </c>
    </row>
    <row r="40" spans="1:2" x14ac:dyDescent="0.3">
      <c r="A40" s="2" t="s">
        <v>12</v>
      </c>
      <c r="B40">
        <v>50.2</v>
      </c>
    </row>
    <row r="69" spans="1:2" x14ac:dyDescent="0.3">
      <c r="A69" s="1" t="s">
        <v>6</v>
      </c>
      <c r="B69" t="s">
        <v>17</v>
      </c>
    </row>
    <row r="70" spans="1:2" x14ac:dyDescent="0.3">
      <c r="A70" s="2" t="s">
        <v>8</v>
      </c>
      <c r="B70">
        <v>2927</v>
      </c>
    </row>
    <row r="71" spans="1:2" x14ac:dyDescent="0.3">
      <c r="A71" s="2" t="s">
        <v>9</v>
      </c>
      <c r="B71">
        <v>547</v>
      </c>
    </row>
    <row r="72" spans="1:2" x14ac:dyDescent="0.3">
      <c r="A72" s="2" t="s">
        <v>10</v>
      </c>
      <c r="B72">
        <v>4953</v>
      </c>
    </row>
    <row r="73" spans="1:2" x14ac:dyDescent="0.3">
      <c r="A73" s="2" t="s">
        <v>11</v>
      </c>
      <c r="B73">
        <v>3685</v>
      </c>
    </row>
    <row r="74" spans="1:2" x14ac:dyDescent="0.3">
      <c r="A74" s="2" t="s">
        <v>12</v>
      </c>
      <c r="B74">
        <v>12112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4BAE-A9C9-4578-BD25-02F929B0D1A0}">
  <dimension ref="A1:A18"/>
  <sheetViews>
    <sheetView workbookViewId="0">
      <selection activeCell="A18" sqref="A18"/>
    </sheetView>
  </sheetViews>
  <sheetFormatPr defaultRowHeight="14.4" x14ac:dyDescent="0.3"/>
  <sheetData>
    <row r="1" spans="1:1" ht="25.8" x14ac:dyDescent="0.5">
      <c r="A1" s="11" t="s">
        <v>27</v>
      </c>
    </row>
    <row r="3" spans="1:1" ht="15.6" x14ac:dyDescent="0.3">
      <c r="A3" s="13" t="s">
        <v>28</v>
      </c>
    </row>
    <row r="4" spans="1:1" ht="15.6" x14ac:dyDescent="0.3">
      <c r="A4" t="s">
        <v>29</v>
      </c>
    </row>
    <row r="6" spans="1:1" ht="15.6" x14ac:dyDescent="0.3">
      <c r="A6" s="13" t="s">
        <v>30</v>
      </c>
    </row>
    <row r="7" spans="1:1" ht="15.6" x14ac:dyDescent="0.3">
      <c r="A7" s="12" t="s">
        <v>31</v>
      </c>
    </row>
    <row r="8" spans="1:1" ht="15.6" x14ac:dyDescent="0.3">
      <c r="A8" s="12" t="s">
        <v>32</v>
      </c>
    </row>
    <row r="9" spans="1:1" ht="15.6" x14ac:dyDescent="0.3">
      <c r="A9" s="12" t="s">
        <v>33</v>
      </c>
    </row>
    <row r="10" spans="1:1" ht="15.6" x14ac:dyDescent="0.3">
      <c r="A10" s="12" t="s">
        <v>35</v>
      </c>
    </row>
    <row r="11" spans="1:1" ht="15.6" x14ac:dyDescent="0.3">
      <c r="A11" s="12" t="s">
        <v>34</v>
      </c>
    </row>
    <row r="13" spans="1:1" ht="15.6" x14ac:dyDescent="0.3">
      <c r="A13" s="13" t="s">
        <v>36</v>
      </c>
    </row>
    <row r="14" spans="1:1" ht="15.6" x14ac:dyDescent="0.3">
      <c r="A14" s="12" t="s">
        <v>37</v>
      </c>
    </row>
    <row r="15" spans="1:1" ht="15.6" x14ac:dyDescent="0.3">
      <c r="A15" s="12" t="s">
        <v>38</v>
      </c>
    </row>
    <row r="16" spans="1:1" ht="15.6" x14ac:dyDescent="0.3">
      <c r="A16" s="12" t="s">
        <v>39</v>
      </c>
    </row>
    <row r="17" spans="1:1" ht="15.6" x14ac:dyDescent="0.3">
      <c r="A17" s="12" t="s">
        <v>40</v>
      </c>
    </row>
    <row r="18" spans="1:1" ht="15.6" x14ac:dyDescent="0.3">
      <c r="A18" s="1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Dataset</vt:lpstr>
      <vt:lpstr> Dashboard</vt:lpstr>
      <vt:lpstr>Pivot Table &amp; Charts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Navada</dc:creator>
  <cp:lastModifiedBy>Girish Navada</cp:lastModifiedBy>
  <dcterms:created xsi:type="dcterms:W3CDTF">2026-06-21T10:42:28Z</dcterms:created>
  <dcterms:modified xsi:type="dcterms:W3CDTF">2026-06-21T15:48:56Z</dcterms:modified>
</cp:coreProperties>
</file>